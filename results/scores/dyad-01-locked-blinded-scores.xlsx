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91fc11ad6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92c814fd854591"/>
    <x:sheet xmlns:r="http://schemas.openxmlformats.org/officeDocument/2006/relationships" name="Scores" sheetId="2" r:id="R9a3268f6767e47e5"/>
    <x:sheet xmlns:r="http://schemas.openxmlformats.org/officeDocument/2006/relationships" name="Reference" sheetId="3" r:id="R0883ba3a17034c80"/>
    <x:sheet xmlns:r="http://schemas.openxmlformats.org/officeDocument/2006/relationships" name="Blind Summary" sheetId="4" r:id="Rf2c8d786723648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86654cdbf4798" /><Relationship Type="http://schemas.openxmlformats.org/officeDocument/2006/relationships/theme" Target="/xl/theme/theme1.xml" Id="R58a5c62b0337440c" /><Relationship Type="http://schemas.microsoft.com/office/2022/11/relationships/FeaturePropertyBag" Target="/xl/featurePropertyBag/featurePropertyBag.xml" Id="R7dc60d6f52e64561" /><Relationship Type="http://schemas.openxmlformats.org/officeDocument/2006/relationships/sharedStrings" Target="/xl/sharedStrings.xml" Id="R2b841d5ff31342df" /><Relationship Type="http://schemas.openxmlformats.org/officeDocument/2006/relationships/worksheet" Target="/xl/worksheets/sheet1.xml" Id="Rc092c814fd854591" /><Relationship Type="http://schemas.openxmlformats.org/officeDocument/2006/relationships/worksheet" Target="/xl/worksheets/sheet2.xml" Id="R9a3268f6767e47e5" /><Relationship Type="http://schemas.openxmlformats.org/officeDocument/2006/relationships/worksheet" Target="/xl/worksheets/sheet3.xml" Id="R0883ba3a17034c80" /><Relationship Type="http://schemas.openxmlformats.org/officeDocument/2006/relationships/worksheet" Target="/xl/worksheets/sheet4.xml" Id="Rf2c8d786723648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26" customHeight="1">
      <x:c r="A1" s="5" t="str">
        <x:v>Dyad-01 Condition-Blind Scoring Record</x:v>
      </x:c>
      <x:c r="B1" s="5"/>
      <x:c r="C1" s="5"/>
      <x:c r="D1" s="5"/>
      <x:c r="E1" s="5"/>
      <x:c r="F1" s="5"/>
      <x:c r="G1" s="5"/>
      <x:c r="H1" s="5"/>
    </x:row>
    <x:row r="2">
      <x:c r="A2" s="9"/>
      <x:c r="B2" s="9"/>
      <x:c r="C2" s="9"/>
      <x:c r="D2" s="9"/>
      <x:c r="E2" s="9"/>
      <x:c r="F2" s="9"/>
      <x:c r="G2" s="9"/>
      <x:c r="H2" s="9"/>
    </x:row>
    <x:row r="3" ht="42" customHeight="1">
      <x:c r="A3" s="10" t="str">
        <x:v>Status</x:v>
      </x:c>
      <x:c r="B3" s="9" t="str">
        <x:v>Provisional condition-blind ratings complete; researcher review required before unblinding</x:v>
      </x:c>
      <x:c r="C3" s="9"/>
      <x:c r="D3" s="9"/>
      <x:c r="E3" s="9"/>
      <x:c r="F3" s="9"/>
      <x:c r="G3" s="9"/>
      <x:c r="H3" s="9"/>
    </x:row>
    <x:row r="4" ht="42" customHeight="1">
      <x:c r="A4" s="10" t="str">
        <x:v>Rows</x:v>
      </x:c>
      <x:c r="B4" s="9" t="str">
        <x:v>80 outputs (4 held-out situations × 20 blinded outputs)</x:v>
      </x:c>
      <x:c r="C4" s="9"/>
      <x:c r="D4" s="9"/>
      <x:c r="E4" s="9"/>
      <x:c r="F4" s="9"/>
      <x:c r="G4" s="9"/>
      <x:c r="H4" s="9"/>
    </x:row>
    <x:row r="5" ht="42" customHeight="1">
      <x:c r="A5" s="10" t="str">
        <x:v>Scale</x:v>
      </x:c>
      <x:c r="B5" s="9" t="str">
        <x:v>0 = unsupported/contradicted; 1 = partial/compatible; 2 = strong evidence-linked match</x:v>
      </x:c>
      <x:c r="C5" s="9"/>
      <x:c r="D5" s="9"/>
      <x:c r="E5" s="9"/>
      <x:c r="F5" s="9"/>
      <x:c r="G5" s="9"/>
      <x:c r="H5" s="9"/>
    </x:row>
    <x:row r="6" ht="42" customHeight="1">
      <x:c r="A6" s="10" t="str">
        <x:v>Dimensions</x:v>
      </x:c>
      <x:c r="B6" s="9" t="str">
        <x:v>Interpretation; affective stance; behavioral strategy; relational objective; escalation; immediate partner effect</x:v>
      </x:c>
      <x:c r="C6" s="9"/>
      <x:c r="D6" s="9"/>
      <x:c r="E6" s="9"/>
      <x:c r="F6" s="9"/>
      <x:c r="G6" s="9"/>
      <x:c r="H6" s="9"/>
    </x:row>
    <x:row r="7" ht="42" customHeight="1">
      <x:c r="A7" s="10" t="str">
        <x:v>Affect rule</x:v>
      </x:c>
      <x:c r="B7" s="9" t="str">
        <x:v>2 only for explicit self-report or clearly accepted clinician-supported formulation; inferential affect is capped at 1</x:v>
      </x:c>
      <x:c r="C7" s="9"/>
      <x:c r="D7" s="9"/>
      <x:c r="E7" s="9"/>
      <x:c r="F7" s="9"/>
      <x:c r="G7" s="9"/>
      <x:c r="H7" s="9"/>
    </x:row>
    <x:row r="8" ht="42" customHeight="1">
      <x:c r="A8" s="10" t="str">
        <x:v>Primary outcomes</x:v>
      </x:c>
      <x:c r="B8" s="9" t="str">
        <x:v>Observable = strategy + escalation + partner effect; Mechanistic = interpretation + affect + objective</x:v>
      </x:c>
      <x:c r="C8" s="9"/>
      <x:c r="D8" s="9"/>
      <x:c r="E8" s="9"/>
      <x:c r="F8" s="9"/>
      <x:c r="G8" s="9"/>
      <x:c r="H8" s="9"/>
    </x:row>
    <x:row r="9" ht="42" customHeight="1">
      <x:c r="A9" s="10" t="str">
        <x:v>Blindness</x:v>
      </x:c>
      <x:c r="B9" s="9" t="str">
        <x:v>No condition key, contexts file, or unblinded result file was present during rating</x:v>
      </x:c>
      <x:c r="C9" s="9"/>
      <x:c r="D9" s="9"/>
      <x:c r="E9" s="9"/>
      <x:c r="F9" s="9"/>
      <x:c r="G9" s="9"/>
      <x:c r="H9" s="9"/>
    </x:row>
    <x:row r="10" ht="42" customHeight="1">
      <x:c r="A10" s="22" t="str">
        <x:v>Frozen score SHA-256</x:v>
      </x:c>
      <x:c r="B10" s="23" t="str">
        <x:v>c68c235877c45ebdadae78e9987e063d0f7815922c99e74429a6b5b7230aaa75</x:v>
      </x:c>
      <x:c r="C10" s="9"/>
      <x:c r="D10" s="9"/>
      <x:c r="E10" s="9"/>
      <x:c r="F10" s="9"/>
      <x:c r="G10" s="9"/>
      <x:c r="H10" s="9"/>
    </x:row>
    <x:row r="11" ht="42" customHeight="1">
      <x:c r="A11" s="10" t="str">
        <x:v>Important</x:v>
      </x:c>
      <x:c r="B11" s="9" t="str">
        <x:v>Do not alter scores after opening the condition key; document any adjudication before unblinding</x:v>
      </x:c>
      <x:c r="C11" s="9"/>
      <x:c r="D11" s="9"/>
      <x:c r="E11" s="9"/>
      <x:c r="F11" s="9"/>
      <x:c r="G11" s="9"/>
      <x:c r="H11" s="9"/>
    </x:row>
    <x:row r="12" ht="42" customHeight="1">
      <x:c r="A12" s="10" t="str">
        <x:v>Scorer note</x:v>
      </x:c>
      <x:c r="B12" s="9" t="str">
        <x:v>These are rubric-based AI-assisted first-pass ratings, not independent human judgments.</x:v>
      </x:c>
      <x:c r="C12" s="9"/>
      <x:c r="D12" s="9"/>
      <x:c r="E12" s="9"/>
      <x:c r="F12" s="9"/>
      <x:c r="G12" s="9"/>
      <x:c r="H12" s="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68" hidden="0" customWidth="1"/>
  </x:cols>
  <x:sheetData>
    <x:row r="1" ht="36" customHeight="1">
      <x:c r="A1" s="14" t="str">
        <x:v>Blind ID</x:v>
      </x:c>
      <x:c r="B1" s="14" t="str">
        <x:v>Situation ID</x:v>
      </x:c>
      <x:c r="C1" s="14" t="str">
        <x:v>Interpretation</x:v>
      </x:c>
      <x:c r="D1" s="14" t="str">
        <x:v>Affective stance</x:v>
      </x:c>
      <x:c r="E1" s="14" t="str">
        <x:v>Behavioral strategy</x:v>
      </x:c>
      <x:c r="F1" s="14" t="str">
        <x:v>Relational objective</x:v>
      </x:c>
      <x:c r="G1" s="14" t="str">
        <x:v>Escalation</x:v>
      </x:c>
      <x:c r="H1" s="14" t="str">
        <x:v>Partner effect</x:v>
      </x:c>
      <x:c r="I1" s="14" t="str">
        <x:v>Total /12</x:v>
      </x:c>
      <x:c r="J1" s="14" t="str">
        <x:v>Mechanistic /6</x:v>
      </x:c>
      <x:c r="K1" s="14" t="str">
        <x:v>Observable /6</x:v>
      </x:c>
      <x:c r="L1" s="14" t="str">
        <x:v>Unsupported specificity</x:v>
      </x:c>
      <x:c r="M1" s="14" t="str">
        <x:v>Future leakage</x:v>
      </x:c>
      <x:c r="N1" s="14" t="str">
        <x:v>Stereotype inference</x:v>
      </x:c>
      <x:c r="O1" s="14" t="str">
        <x:v>Idealisation</x:v>
      </x:c>
      <x:c r="P1" s="14" t="str">
        <x:v>Internal contradiction</x:v>
      </x:c>
      <x:c r="Q1" s="14" t="str">
        <x:v>Rationale</x:v>
      </x:c>
    </x:row>
    <x:row r="2" ht="48" customHeight="1">
      <x:c r="A2" s="15" t="str">
        <x:v>B001-40c7f7</x:v>
      </x:c>
      <x:c r="B2" s="15" t="str">
        <x:v>d01-pa-h03</x:v>
      </x:c>
      <x:c r="C2" s="16" t="n">
        <x:v>1</x:v>
      </x:c>
      <x:c r="D2" s="16" t="n">
        <x:v>2</x:v>
      </x:c>
      <x:c r="E2" s="16" t="n">
        <x:v>1</x:v>
      </x:c>
      <x:c r="F2" s="16" t="n">
        <x:v>1</x:v>
      </x:c>
      <x:c r="G2" s="16" t="n">
        <x:v>2</x:v>
      </x:c>
      <x:c r="H2" s="16" t="n">
        <x:v>1</x:v>
      </x:c>
      <x:c r="I2" s="16" t="n">
        <x:f>SUM(C2:H2)</x:f>
        <x:v>8</x:v>
      </x:c>
      <x:c r="J2" s="16" t="n">
        <x:f>C2+D2+F2</x:f>
        <x:v>4</x:v>
      </x:c>
      <x:c r="K2" s="16" t="n">
        <x:f>E2+G2+H2</x:f>
        <x:v>4</x:v>
      </x:c>
      <x:c r="L2" s="17" t="b">
        <x:v>0</x:v>
      </x:c>
      <x:c r="M2" s="17" t="b">
        <x:v>0</x:v>
      </x:c>
      <x:c r="N2" s="17" t="b">
        <x:v>0</x:v>
      </x:c>
      <x:c r="O2" s="17" t="b">
        <x:v>0</x:v>
      </x:c>
      <x:c r="P2" s="17" t="b">
        <x:v>0</x:v>
      </x:c>
      <x:c r="Q2" s="15" t="str">
        <x:v>The response captures defensiveness and workload conflict, but usually misses the observed no-win self-judgment and usefulness-as-relational-security mechanism.</x:v>
      </x:c>
    </x:row>
    <x:row r="3" ht="48" customHeight="1">
      <x:c r="A3" s="15" t="str">
        <x:v>B002-89f700</x:v>
      </x:c>
      <x:c r="B3" s="15" t="str">
        <x:v>d01-pa-h03</x:v>
      </x:c>
      <x:c r="C3" s="16" t="n">
        <x:v>1</x:v>
      </x:c>
      <x:c r="D3" s="16" t="n">
        <x:v>2</x:v>
      </x:c>
      <x:c r="E3" s="16" t="n">
        <x:v>1</x:v>
      </x:c>
      <x:c r="F3" s="16" t="n">
        <x:v>1</x:v>
      </x:c>
      <x:c r="G3" s="16" t="n">
        <x:v>2</x:v>
      </x:c>
      <x:c r="H3" s="16" t="n">
        <x:v>1</x:v>
      </x:c>
      <x:c r="I3" s="16" t="n">
        <x:f>SUM(C3:H3)</x:f>
        <x:v>8</x:v>
      </x:c>
      <x:c r="J3" s="16" t="n">
        <x:f>C3+D3+F3</x:f>
        <x:v>4</x:v>
      </x:c>
      <x:c r="K3" s="16" t="n">
        <x:f>E3+G3+H3</x:f>
        <x:v>4</x:v>
      </x:c>
      <x:c r="L3" s="17" t="b">
        <x:v>0</x:v>
      </x:c>
      <x:c r="M3" s="17" t="b">
        <x:v>0</x:v>
      </x:c>
      <x:c r="N3" s="17" t="b">
        <x:v>0</x:v>
      </x:c>
      <x:c r="O3" s="17" t="b">
        <x:v>0</x:v>
      </x:c>
      <x:c r="P3" s="17" t="b">
        <x:v>0</x:v>
      </x:c>
      <x:c r="Q3" s="15" t="str">
        <x:v>The response captures defensiveness and workload conflict, but usually misses the observed no-win self-judgment and usefulness-as-relational-security mechanism.</x:v>
      </x:c>
    </x:row>
    <x:row r="4" ht="48" customHeight="1">
      <x:c r="A4" s="15" t="str">
        <x:v>B003-c30c78</x:v>
      </x:c>
      <x:c r="B4" s="15" t="str">
        <x:v>d01-pa-h04</x:v>
      </x:c>
      <x:c r="C4" s="16" t="n">
        <x:v>1</x:v>
      </x:c>
      <x:c r="D4" s="16" t="n">
        <x:v>1</x:v>
      </x:c>
      <x:c r="E4" s="16" t="n">
        <x:v>2</x:v>
      </x:c>
      <x:c r="F4" s="16" t="n">
        <x:v>1</x:v>
      </x:c>
      <x:c r="G4" s="16" t="n">
        <x:v>0</x:v>
      </x:c>
      <x:c r="H4" s="16" t="n">
        <x:v>0</x:v>
      </x:c>
      <x:c r="I4" s="16" t="n">
        <x:f>SUM(C4:H4)</x:f>
        <x:v>5</x:v>
      </x:c>
      <x:c r="J4" s="16" t="n">
        <x:f>C4+D4+F4</x:f>
        <x:v>3</x:v>
      </x:c>
      <x:c r="K4" s="16" t="n">
        <x:f>E4+G4+H4</x:f>
        <x:v>2</x:v>
      </x:c>
      <x:c r="L4" s="17" t="b">
        <x:v>0</x:v>
      </x:c>
      <x:c r="M4" s="17" t="b">
        <x:v>0</x:v>
      </x:c>
      <x:c r="N4" s="17" t="b">
        <x:v>0</x:v>
      </x:c>
      <x:c r="O4" s="17" t="b">
        <x:v>0</x:v>
      </x:c>
      <x:c r="P4" s="17" t="b">
        <x:v>0</x:v>
      </x:c>
      <x:c r="Q4" s="15" t="str">
        <x:v>Cleaning/task focus matches the observed regulation strategy; affect is inferential, and “moderate” escalation does not match the de-escalating behavioral act.</x:v>
      </x:c>
    </x:row>
    <x:row r="5" ht="48" customHeight="1">
      <x:c r="A5" s="15" t="str">
        <x:v>B004-4fac1e</x:v>
      </x:c>
      <x:c r="B5" s="15" t="str">
        <x:v>d01-pa-h01</x:v>
      </x:c>
      <x:c r="C5" s="16" t="n">
        <x:v>1</x:v>
      </x:c>
      <x:c r="D5" s="16" t="n">
        <x:v>1</x:v>
      </x:c>
      <x:c r="E5" s="16" t="n">
        <x:v>2</x:v>
      </x:c>
      <x:c r="F5" s="16" t="n">
        <x:v>1</x:v>
      </x:c>
      <x:c r="G5" s="16" t="n">
        <x:v>1</x:v>
      </x:c>
      <x:c r="H5" s="16" t="n">
        <x:v>1</x:v>
      </x:c>
      <x:c r="I5" s="16" t="n">
        <x:f>SUM(C5:H5)</x:f>
        <x:v>7</x:v>
      </x:c>
      <x:c r="J5" s="16" t="n">
        <x:f>C5+D5+F5</x:f>
        <x:v>3</x:v>
      </x:c>
      <x:c r="K5" s="16" t="n">
        <x:f>E5+G5+H5</x:f>
        <x:v>4</x:v>
      </x:c>
      <x:c r="L5" s="17" t="b">
        <x:v>0</x:v>
      </x:c>
      <x:c r="M5" s="17" t="b">
        <x:v>0</x:v>
      </x:c>
      <x:c r="N5" s="17" t="b">
        <x:v>0</x:v>
      </x:c>
      <x:c r="O5" s="17" t="b">
        <x:v>0</x:v>
      </x:c>
      <x:c r="P5" s="17" t="b">
        <x:v>0</x:v>
      </x:c>
      <x:c r="Q5" s="15" t="str">
        <x:v>Rated against the observed guarded questioning of the vulnerable bid and its rejecting effect; generic warmth or immediate acceptance did not receive full credit.</x:v>
      </x:c>
    </x:row>
    <x:row r="6" ht="48" customHeight="1">
      <x:c r="A6" s="15" t="str">
        <x:v>B005-6bd7e6</x:v>
      </x:c>
      <x:c r="B6" s="15" t="str">
        <x:v>d01-pa-h04</x:v>
      </x:c>
      <x:c r="C6" s="16" t="n">
        <x:v>1</x:v>
      </x:c>
      <x:c r="D6" s="16" t="n">
        <x:v>1</x:v>
      </x:c>
      <x:c r="E6" s="16" t="n">
        <x:v>2</x:v>
      </x:c>
      <x:c r="F6" s="16" t="n">
        <x:v>1</x:v>
      </x:c>
      <x:c r="G6" s="16" t="n">
        <x:v>0</x:v>
      </x:c>
      <x:c r="H6" s="16" t="n">
        <x:v>0</x:v>
      </x:c>
      <x:c r="I6" s="16" t="n">
        <x:f>SUM(C6:H6)</x:f>
        <x:v>5</x:v>
      </x:c>
      <x:c r="J6" s="16" t="n">
        <x:f>C6+D6+F6</x:f>
        <x:v>3</x:v>
      </x:c>
      <x:c r="K6" s="16" t="n">
        <x:f>E6+G6+H6</x:f>
        <x:v>2</x:v>
      </x:c>
      <x:c r="L6" s="17" t="b">
        <x:v>0</x:v>
      </x:c>
      <x:c r="M6" s="17" t="b">
        <x:v>0</x:v>
      </x:c>
      <x:c r="N6" s="17" t="b">
        <x:v>0</x:v>
      </x:c>
      <x:c r="O6" s="17" t="b">
        <x:v>0</x:v>
      </x:c>
      <x:c r="P6" s="17" t="b">
        <x:v>0</x:v>
      </x:c>
      <x:c r="Q6" s="15" t="str">
        <x:v>Cleaning/task focus matches the observed regulation strategy; affect is inferential, and “moderate” escalation does not match the de-escalating behavioral act.</x:v>
      </x:c>
    </x:row>
    <x:row r="7" ht="48" customHeight="1">
      <x:c r="A7" s="15" t="str">
        <x:v>B006-edebe7</x:v>
      </x:c>
      <x:c r="B7" s="15" t="str">
        <x:v>d01-pa-h04</x:v>
      </x:c>
      <x:c r="C7" s="16" t="n">
        <x:v>1</x:v>
      </x:c>
      <x:c r="D7" s="16" t="n">
        <x:v>1</x:v>
      </x:c>
      <x:c r="E7" s="16" t="n">
        <x:v>2</x:v>
      </x:c>
      <x:c r="F7" s="16" t="n">
        <x:v>1</x:v>
      </x:c>
      <x:c r="G7" s="16" t="n">
        <x:v>0</x:v>
      </x:c>
      <x:c r="H7" s="16" t="n">
        <x:v>1</x:v>
      </x:c>
      <x:c r="I7" s="16" t="n">
        <x:f>SUM(C7:H7)</x:f>
        <x:v>6</x:v>
      </x:c>
      <x:c r="J7" s="16" t="n">
        <x:f>C7+D7+F7</x:f>
        <x:v>3</x:v>
      </x:c>
      <x:c r="K7" s="16" t="n">
        <x:f>E7+G7+H7</x:f>
        <x:v>3</x:v>
      </x:c>
      <x:c r="L7" s="17" t="b">
        <x:v>0</x:v>
      </x:c>
      <x:c r="M7" s="17" t="b">
        <x:v>0</x:v>
      </x:c>
      <x:c r="N7" s="17" t="b">
        <x:v>0</x:v>
      </x:c>
      <x:c r="O7" s="17" t="b">
        <x:v>0</x:v>
      </x:c>
      <x:c r="P7" s="17" t="b">
        <x:v>0</x:v>
      </x:c>
      <x:c r="Q7" s="15" t="str">
        <x:v>Cleaning/task focus matches the observed regulation strategy; affect is inferential, and “moderate” escalation does not match the de-escalating behavioral act.</x:v>
      </x:c>
    </x:row>
    <x:row r="8" ht="48" customHeight="1">
      <x:c r="A8" s="15" t="str">
        <x:v>B007-617839</x:v>
      </x:c>
      <x:c r="B8" s="15" t="str">
        <x:v>d01-pa-h02</x:v>
      </x:c>
      <x:c r="C8" s="16" t="n">
        <x:v>2</x:v>
      </x:c>
      <x:c r="D8" s="16" t="n">
        <x:v>2</x:v>
      </x:c>
      <x:c r="E8" s="16" t="n">
        <x:v>1</x:v>
      </x:c>
      <x:c r="F8" s="16" t="n">
        <x:v>2</x:v>
      </x:c>
      <x:c r="G8" s="16" t="n">
        <x:v>1</x:v>
      </x:c>
      <x:c r="H8" s="16" t="n">
        <x:v>2</x:v>
      </x:c>
      <x:c r="I8" s="16" t="n">
        <x:f>SUM(C8:H8)</x:f>
        <x:v>10</x:v>
      </x:c>
      <x:c r="J8" s="16" t="n">
        <x:f>C8+D8+F8</x:f>
        <x:v>6</x:v>
      </x:c>
      <x:c r="K8" s="16" t="n">
        <x:f>E8+G8+H8</x:f>
        <x:v>4</x:v>
      </x:c>
      <x:c r="L8" s="17" t="b">
        <x:v>0</x:v>
      </x:c>
      <x:c r="M8" s="17" t="b">
        <x:v>0</x:v>
      </x:c>
      <x:c r="N8" s="17" t="b">
        <x:v>0</x:v>
      </x:c>
      <x:c r="O8" s="17" t="b">
        <x:v>0</x:v>
      </x:c>
      <x:c r="P8" s="17" t="b">
        <x:v>0</x:v>
      </x:c>
      <x:c r="Q8" s="15" t="str">
        <x:v>Abandonment meaning and defensive affect match strongly where present; full strategy credit requires pre-emptive distancing/expulsion, not only pursuit or criticism.</x:v>
      </x:c>
    </x:row>
    <x:row r="9" ht="48" customHeight="1">
      <x:c r="A9" s="15" t="str">
        <x:v>B008-3c07f9</x:v>
      </x:c>
      <x:c r="B9" s="15" t="str">
        <x:v>d01-pa-h03</x:v>
      </x:c>
      <x:c r="C9" s="16" t="n">
        <x:v>1</x:v>
      </x:c>
      <x:c r="D9" s="16" t="n">
        <x:v>2</x:v>
      </x:c>
      <x:c r="E9" s="16" t="n">
        <x:v>1</x:v>
      </x:c>
      <x:c r="F9" s="16" t="n">
        <x:v>1</x:v>
      </x:c>
      <x:c r="G9" s="16" t="n">
        <x:v>1</x:v>
      </x:c>
      <x:c r="H9" s="16" t="n">
        <x:v>1</x:v>
      </x:c>
      <x:c r="I9" s="16" t="n">
        <x:f>SUM(C9:H9)</x:f>
        <x:v>7</x:v>
      </x:c>
      <x:c r="J9" s="16" t="n">
        <x:f>C9+D9+F9</x:f>
        <x:v>4</x:v>
      </x:c>
      <x:c r="K9" s="16" t="n">
        <x:f>E9+G9+H9</x:f>
        <x:v>3</x:v>
      </x:c>
      <x:c r="L9" s="17" t="b">
        <x:v>0</x:v>
      </x:c>
      <x:c r="M9" s="17" t="b">
        <x:v>0</x:v>
      </x:c>
      <x:c r="N9" s="17" t="b">
        <x:v>0</x:v>
      </x:c>
      <x:c r="O9" s="17" t="b">
        <x:v>0</x:v>
      </x:c>
      <x:c r="P9" s="17" t="b">
        <x:v>0</x:v>
      </x:c>
      <x:c r="Q9" s="15" t="str">
        <x:v>The response captures defensiveness and workload conflict, but usually misses the observed no-win self-judgment and usefulness-as-relational-security mechanism.</x:v>
      </x:c>
    </x:row>
    <x:row r="10" ht="48" customHeight="1">
      <x:c r="A10" s="15" t="str">
        <x:v>B009-c0b8c9</x:v>
      </x:c>
      <x:c r="B10" s="15" t="str">
        <x:v>d01-pa-h04</x:v>
      </x:c>
      <x:c r="C10" s="16" t="n">
        <x:v>1</x:v>
      </x:c>
      <x:c r="D10" s="16" t="n">
        <x:v>1</x:v>
      </x:c>
      <x:c r="E10" s="16" t="n">
        <x:v>2</x:v>
      </x:c>
      <x:c r="F10" s="16" t="n">
        <x:v>1</x:v>
      </x:c>
      <x:c r="G10" s="16" t="n">
        <x:v>0</x:v>
      </x:c>
      <x:c r="H10" s="16" t="n">
        <x:v>0</x:v>
      </x:c>
      <x:c r="I10" s="16" t="n">
        <x:f>SUM(C10:H10)</x:f>
        <x:v>5</x:v>
      </x:c>
      <x:c r="J10" s="16" t="n">
        <x:f>C10+D10+F10</x:f>
        <x:v>3</x:v>
      </x:c>
      <x:c r="K10" s="16" t="n">
        <x:f>E10+G10+H10</x:f>
        <x:v>2</x:v>
      </x:c>
      <x:c r="L10" s="17" t="b">
        <x:v>0</x:v>
      </x:c>
      <x:c r="M10" s="17" t="b">
        <x:v>0</x:v>
      </x:c>
      <x:c r="N10" s="17" t="b">
        <x:v>0</x:v>
      </x:c>
      <x:c r="O10" s="17" t="b">
        <x:v>0</x:v>
      </x:c>
      <x:c r="P10" s="17" t="b">
        <x:v>0</x:v>
      </x:c>
      <x:c r="Q10" s="15" t="str">
        <x:v>Cleaning/task focus matches the observed regulation strategy; affect is inferential, and “moderate” escalation does not match the de-escalating behavioral act.</x:v>
      </x:c>
    </x:row>
    <x:row r="11" ht="48" customHeight="1">
      <x:c r="A11" s="15" t="str">
        <x:v>B010-e21a60</x:v>
      </x:c>
      <x:c r="B11" s="15" t="str">
        <x:v>d01-pa-h01</x:v>
      </x:c>
      <x:c r="C11" s="16" t="n">
        <x:v>1</x:v>
      </x:c>
      <x:c r="D11" s="16" t="n">
        <x:v>1</x:v>
      </x:c>
      <x:c r="E11" s="16" t="n">
        <x:v>1</x:v>
      </x:c>
      <x:c r="F11" s="16" t="n">
        <x:v>1</x:v>
      </x:c>
      <x:c r="G11" s="16" t="n">
        <x:v>0</x:v>
      </x:c>
      <x:c r="H11" s="16" t="n">
        <x:v>0</x:v>
      </x:c>
      <x:c r="I11" s="16" t="n">
        <x:f>SUM(C11:H11)</x:f>
        <x:v>4</x:v>
      </x:c>
      <x:c r="J11" s="16" t="n">
        <x:f>C11+D11+F11</x:f>
        <x:v>3</x:v>
      </x:c>
      <x:c r="K11" s="16" t="n">
        <x:f>E11+G11+H11</x:f>
        <x:v>1</x:v>
      </x:c>
      <x:c r="L11" s="17" t="b">
        <x:v>0</x:v>
      </x:c>
      <x:c r="M11" s="17" t="b">
        <x:v>0</x:v>
      </x:c>
      <x:c r="N11" s="17" t="b">
        <x:v>0</x:v>
      </x:c>
      <x:c r="O11" s="17" t="b">
        <x:v>1</x:v>
      </x:c>
      <x:c r="P11" s="17" t="b">
        <x:v>0</x:v>
      </x:c>
      <x:c r="Q11" s="15" t="str">
        <x:v>Rated against the observed guarded questioning of the vulnerable bid and its rejecting effect; generic warmth or immediate acceptance did not receive full credit.</x:v>
      </x:c>
    </x:row>
    <x:row r="12" ht="48" customHeight="1">
      <x:c r="A12" s="15" t="str">
        <x:v>B011-12c70c</x:v>
      </x:c>
      <x:c r="B12" s="15" t="str">
        <x:v>d01-pa-h01</x:v>
      </x:c>
      <x:c r="C12" s="16" t="n">
        <x:v>1</x:v>
      </x:c>
      <x:c r="D12" s="16" t="n">
        <x:v>1</x:v>
      </x:c>
      <x:c r="E12" s="16" t="n">
        <x:v>0</x:v>
      </x:c>
      <x:c r="F12" s="16" t="n">
        <x:v>1</x:v>
      </x:c>
      <x:c r="G12" s="16" t="n">
        <x:v>0</x:v>
      </x:c>
      <x:c r="H12" s="16" t="n">
        <x:v>0</x:v>
      </x:c>
      <x:c r="I12" s="16" t="n">
        <x:f>SUM(C12:H12)</x:f>
        <x:v>3</x:v>
      </x:c>
      <x:c r="J12" s="16" t="n">
        <x:f>C12+D12+F12</x:f>
        <x:v>3</x:v>
      </x:c>
      <x:c r="K12" s="16" t="n">
        <x:f>E12+G12+H12</x:f>
        <x:v>0</x:v>
      </x:c>
      <x:c r="L12" s="17" t="b">
        <x:v>0</x:v>
      </x:c>
      <x:c r="M12" s="17" t="b">
        <x:v>0</x:v>
      </x:c>
      <x:c r="N12" s="17" t="b">
        <x:v>0</x:v>
      </x:c>
      <x:c r="O12" s="17" t="b">
        <x:v>1</x:v>
      </x:c>
      <x:c r="P12" s="17" t="b">
        <x:v>0</x:v>
      </x:c>
      <x:c r="Q12" s="15" t="str">
        <x:v>Rated against the observed guarded questioning of the vulnerable bid and its rejecting effect; generic warmth or immediate acceptance did not receive full credit.</x:v>
      </x:c>
    </x:row>
    <x:row r="13" ht="48" customHeight="1">
      <x:c r="A13" s="15" t="str">
        <x:v>B012-61e439</x:v>
      </x:c>
      <x:c r="B13" s="15" t="str">
        <x:v>d01-pa-h03</x:v>
      </x:c>
      <x:c r="C13" s="16" t="n">
        <x:v>1</x:v>
      </x:c>
      <x:c r="D13" s="16" t="n">
        <x:v>2</x:v>
      </x:c>
      <x:c r="E13" s="16" t="n">
        <x:v>1</x:v>
      </x:c>
      <x:c r="F13" s="16" t="n">
        <x:v>1</x:v>
      </x:c>
      <x:c r="G13" s="16" t="n">
        <x:v>2</x:v>
      </x:c>
      <x:c r="H13" s="16" t="n">
        <x:v>1</x:v>
      </x:c>
      <x:c r="I13" s="16" t="n">
        <x:f>SUM(C13:H13)</x:f>
        <x:v>8</x:v>
      </x:c>
      <x:c r="J13" s="16" t="n">
        <x:f>C13+D13+F13</x:f>
        <x:v>4</x:v>
      </x:c>
      <x:c r="K13" s="16" t="n">
        <x:f>E13+G13+H13</x:f>
        <x:v>4</x:v>
      </x:c>
      <x:c r="L13" s="17" t="b">
        <x:v>0</x:v>
      </x:c>
      <x:c r="M13" s="17" t="b">
        <x:v>0</x:v>
      </x:c>
      <x:c r="N13" s="17" t="b">
        <x:v>0</x:v>
      </x:c>
      <x:c r="O13" s="17" t="b">
        <x:v>0</x:v>
      </x:c>
      <x:c r="P13" s="17" t="b">
        <x:v>0</x:v>
      </x:c>
      <x:c r="Q13" s="15" t="str">
        <x:v>The response captures defensiveness and workload conflict, but usually misses the observed no-win self-judgment and usefulness-as-relational-security mechanism.</x:v>
      </x:c>
    </x:row>
    <x:row r="14" ht="48" customHeight="1">
      <x:c r="A14" s="15" t="str">
        <x:v>B013-7dbbe7</x:v>
      </x:c>
      <x:c r="B14" s="15" t="str">
        <x:v>d01-pa-h04</x:v>
      </x:c>
      <x:c r="C14" s="16" t="n">
        <x:v>1</x:v>
      </x:c>
      <x:c r="D14" s="16" t="n">
        <x:v>1</x:v>
      </x:c>
      <x:c r="E14" s="16" t="n">
        <x:v>2</x:v>
      </x:c>
      <x:c r="F14" s="16" t="n">
        <x:v>1</x:v>
      </x:c>
      <x:c r="G14" s="16" t="n">
        <x:v>0</x:v>
      </x:c>
      <x:c r="H14" s="16" t="n">
        <x:v>0</x:v>
      </x:c>
      <x:c r="I14" s="16" t="n">
        <x:f>SUM(C14:H14)</x:f>
        <x:v>5</x:v>
      </x:c>
      <x:c r="J14" s="16" t="n">
        <x:f>C14+D14+F14</x:f>
        <x:v>3</x:v>
      </x:c>
      <x:c r="K14" s="16" t="n">
        <x:f>E14+G14+H14</x:f>
        <x:v>2</x:v>
      </x:c>
      <x:c r="L14" s="17" t="b">
        <x:v>0</x:v>
      </x:c>
      <x:c r="M14" s="17" t="b">
        <x:v>0</x:v>
      </x:c>
      <x:c r="N14" s="17" t="b">
        <x:v>0</x:v>
      </x:c>
      <x:c r="O14" s="17" t="b">
        <x:v>0</x:v>
      </x:c>
      <x:c r="P14" s="17" t="b">
        <x:v>0</x:v>
      </x:c>
      <x:c r="Q14" s="15" t="str">
        <x:v>Cleaning/task focus matches the observed regulation strategy; affect is inferential, and “moderate” escalation does not match the de-escalating behavioral act.</x:v>
      </x:c>
    </x:row>
    <x:row r="15" ht="48" customHeight="1">
      <x:c r="A15" s="15" t="str">
        <x:v>B014-1487e7</x:v>
      </x:c>
      <x:c r="B15" s="15" t="str">
        <x:v>d01-pa-h04</x:v>
      </x:c>
      <x:c r="C15" s="16" t="n">
        <x:v>1</x:v>
      </x:c>
      <x:c r="D15" s="16" t="n">
        <x:v>1</x:v>
      </x:c>
      <x:c r="E15" s="16" t="n">
        <x:v>2</x:v>
      </x:c>
      <x:c r="F15" s="16" t="n">
        <x:v>1</x:v>
      </x:c>
      <x:c r="G15" s="16" t="n">
        <x:v>0</x:v>
      </x:c>
      <x:c r="H15" s="16" t="n">
        <x:v>0</x:v>
      </x:c>
      <x:c r="I15" s="16" t="n">
        <x:f>SUM(C15:H15)</x:f>
        <x:v>5</x:v>
      </x:c>
      <x:c r="J15" s="16" t="n">
        <x:f>C15+D15+F15</x:f>
        <x:v>3</x:v>
      </x:c>
      <x:c r="K15" s="16" t="n">
        <x:f>E15+G15+H15</x:f>
        <x:v>2</x:v>
      </x:c>
      <x:c r="L15" s="17" t="b">
        <x:v>0</x:v>
      </x:c>
      <x:c r="M15" s="17" t="b">
        <x:v>0</x:v>
      </x:c>
      <x:c r="N15" s="17" t="b">
        <x:v>0</x:v>
      </x:c>
      <x:c r="O15" s="17" t="b">
        <x:v>0</x:v>
      </x:c>
      <x:c r="P15" s="17" t="b">
        <x:v>0</x:v>
      </x:c>
      <x:c r="Q15" s="15" t="str">
        <x:v>Cleaning/task focus matches the observed regulation strategy; affect is inferential, and “moderate” escalation does not match the de-escalating behavioral act.</x:v>
      </x:c>
    </x:row>
    <x:row r="16" ht="48" customHeight="1">
      <x:c r="A16" s="15" t="str">
        <x:v>B015-68385a</x:v>
      </x:c>
      <x:c r="B16" s="15" t="str">
        <x:v>d01-pa-h02</x:v>
      </x:c>
      <x:c r="C16" s="16" t="n">
        <x:v>1</x:v>
      </x:c>
      <x:c r="D16" s="16" t="n">
        <x:v>1</x:v>
      </x:c>
      <x:c r="E16" s="16" t="n">
        <x:v>1</x:v>
      </x:c>
      <x:c r="F16" s="16" t="n">
        <x:v>1</x:v>
      </x:c>
      <x:c r="G16" s="16" t="n">
        <x:v>1</x:v>
      </x:c>
      <x:c r="H16" s="16" t="n">
        <x:v>2</x:v>
      </x:c>
      <x:c r="I16" s="16" t="n">
        <x:f>SUM(C16:H16)</x:f>
        <x:v>7</x:v>
      </x:c>
      <x:c r="J16" s="16" t="n">
        <x:f>C16+D16+F16</x:f>
        <x:v>3</x:v>
      </x:c>
      <x:c r="K16" s="16" t="n">
        <x:f>E16+G16+H16</x:f>
        <x:v>4</x:v>
      </x:c>
      <x:c r="L16" s="17" t="b">
        <x:v>0</x:v>
      </x:c>
      <x:c r="M16" s="17" t="b">
        <x:v>0</x:v>
      </x:c>
      <x:c r="N16" s="17" t="b">
        <x:v>0</x:v>
      </x:c>
      <x:c r="O16" s="17" t="b">
        <x:v>0</x:v>
      </x:c>
      <x:c r="P16" s="17" t="b">
        <x:v>0</x:v>
      </x:c>
      <x:c r="Q16" s="15" t="str">
        <x:v>Abandonment meaning and defensive affect match strongly where present; full strategy credit requires pre-emptive distancing/expulsion, not only pursuit or criticism.</x:v>
      </x:c>
    </x:row>
    <x:row r="17" ht="48" customHeight="1">
      <x:c r="A17" s="15" t="str">
        <x:v>B016-ba8c6d</x:v>
      </x:c>
      <x:c r="B17" s="15" t="str">
        <x:v>d01-pa-h04</x:v>
      </x:c>
      <x:c r="C17" s="16" t="n">
        <x:v>1</x:v>
      </x:c>
      <x:c r="D17" s="16" t="n">
        <x:v>1</x:v>
      </x:c>
      <x:c r="E17" s="16" t="n">
        <x:v>2</x:v>
      </x:c>
      <x:c r="F17" s="16" t="n">
        <x:v>1</x:v>
      </x:c>
      <x:c r="G17" s="16" t="n">
        <x:v>0</x:v>
      </x:c>
      <x:c r="H17" s="16" t="n">
        <x:v>1</x:v>
      </x:c>
      <x:c r="I17" s="16" t="n">
        <x:f>SUM(C17:H17)</x:f>
        <x:v>6</x:v>
      </x:c>
      <x:c r="J17" s="16" t="n">
        <x:f>C17+D17+F17</x:f>
        <x:v>3</x:v>
      </x:c>
      <x:c r="K17" s="16" t="n">
        <x:f>E17+G17+H17</x:f>
        <x:v>3</x:v>
      </x:c>
      <x:c r="L17" s="17" t="b">
        <x:v>0</x:v>
      </x:c>
      <x:c r="M17" s="17" t="b">
        <x:v>0</x:v>
      </x:c>
      <x:c r="N17" s="17" t="b">
        <x:v>0</x:v>
      </x:c>
      <x:c r="O17" s="17" t="b">
        <x:v>0</x:v>
      </x:c>
      <x:c r="P17" s="17" t="b">
        <x:v>0</x:v>
      </x:c>
      <x:c r="Q17" s="15" t="str">
        <x:v>Cleaning/task focus matches the observed regulation strategy; affect is inferential, and “moderate” escalation does not match the de-escalating behavioral act.</x:v>
      </x:c>
    </x:row>
    <x:row r="18" ht="48" customHeight="1">
      <x:c r="A18" s="15" t="str">
        <x:v>B017-310b15</x:v>
      </x:c>
      <x:c r="B18" s="15" t="str">
        <x:v>d01-pa-h02</x:v>
      </x:c>
      <x:c r="C18" s="16" t="n">
        <x:v>2</x:v>
      </x:c>
      <x:c r="D18" s="16" t="n">
        <x:v>2</x:v>
      </x:c>
      <x:c r="E18" s="16" t="n">
        <x:v>2</x:v>
      </x:c>
      <x:c r="F18" s="16" t="n">
        <x:v>2</x:v>
      </x:c>
      <x:c r="G18" s="16" t="n">
        <x:v>1</x:v>
      </x:c>
      <x:c r="H18" s="16" t="n">
        <x:v>2</x:v>
      </x:c>
      <x:c r="I18" s="16" t="n">
        <x:f>SUM(C18:H18)</x:f>
        <x:v>11</x:v>
      </x:c>
      <x:c r="J18" s="16" t="n">
        <x:f>C18+D18+F18</x:f>
        <x:v>6</x:v>
      </x:c>
      <x:c r="K18" s="16" t="n">
        <x:f>E18+G18+H18</x:f>
        <x:v>5</x:v>
      </x:c>
      <x:c r="L18" s="17" t="b">
        <x:v>0</x:v>
      </x:c>
      <x:c r="M18" s="17" t="b">
        <x:v>0</x:v>
      </x:c>
      <x:c r="N18" s="17" t="b">
        <x:v>0</x:v>
      </x:c>
      <x:c r="O18" s="17" t="b">
        <x:v>0</x:v>
      </x:c>
      <x:c r="P18" s="17" t="b">
        <x:v>0</x:v>
      </x:c>
      <x:c r="Q18" s="15" t="str">
        <x:v>Abandonment meaning and defensive affect match strongly where present; full strategy credit requires pre-emptive distancing/expulsion, not only pursuit or criticism.</x:v>
      </x:c>
    </x:row>
    <x:row r="19" ht="48" customHeight="1">
      <x:c r="A19" s="15" t="str">
        <x:v>B018-f037a4</x:v>
      </x:c>
      <x:c r="B19" s="15" t="str">
        <x:v>d01-pa-h03</x:v>
      </x:c>
      <x:c r="C19" s="16" t="n">
        <x:v>1</x:v>
      </x:c>
      <x:c r="D19" s="16" t="n">
        <x:v>2</x:v>
      </x:c>
      <x:c r="E19" s="16" t="n">
        <x:v>1</x:v>
      </x:c>
      <x:c r="F19" s="16" t="n">
        <x:v>1</x:v>
      </x:c>
      <x:c r="G19" s="16" t="n">
        <x:v>1</x:v>
      </x:c>
      <x:c r="H19" s="16" t="n">
        <x:v>1</x:v>
      </x:c>
      <x:c r="I19" s="16" t="n">
        <x:f>SUM(C19:H19)</x:f>
        <x:v>7</x:v>
      </x:c>
      <x:c r="J19" s="16" t="n">
        <x:f>C19+D19+F19</x:f>
        <x:v>4</x:v>
      </x:c>
      <x:c r="K19" s="16" t="n">
        <x:f>E19+G19+H19</x:f>
        <x:v>3</x:v>
      </x:c>
      <x:c r="L19" s="17" t="b">
        <x:v>0</x:v>
      </x:c>
      <x:c r="M19" s="17" t="b">
        <x:v>0</x:v>
      </x:c>
      <x:c r="N19" s="17" t="b">
        <x:v>0</x:v>
      </x:c>
      <x:c r="O19" s="17" t="b">
        <x:v>0</x:v>
      </x:c>
      <x:c r="P19" s="17" t="b">
        <x:v>0</x:v>
      </x:c>
      <x:c r="Q19" s="15" t="str">
        <x:v>The response captures defensiveness and workload conflict, but usually misses the observed no-win self-judgment and usefulness-as-relational-security mechanism.</x:v>
      </x:c>
    </x:row>
    <x:row r="20" ht="48" customHeight="1">
      <x:c r="A20" s="15" t="str">
        <x:v>B019-5773bc</x:v>
      </x:c>
      <x:c r="B20" s="15" t="str">
        <x:v>d01-pa-h04</x:v>
      </x:c>
      <x:c r="C20" s="16" t="n">
        <x:v>1</x:v>
      </x:c>
      <x:c r="D20" s="16" t="n">
        <x:v>1</x:v>
      </x:c>
      <x:c r="E20" s="16" t="n">
        <x:v>2</x:v>
      </x:c>
      <x:c r="F20" s="16" t="n">
        <x:v>1</x:v>
      </x:c>
      <x:c r="G20" s="16" t="n">
        <x:v>0</x:v>
      </x:c>
      <x:c r="H20" s="16" t="n">
        <x:v>0</x:v>
      </x:c>
      <x:c r="I20" s="16" t="n">
        <x:f>SUM(C20:H20)</x:f>
        <x:v>5</x:v>
      </x:c>
      <x:c r="J20" s="16" t="n">
        <x:f>C20+D20+F20</x:f>
        <x:v>3</x:v>
      </x:c>
      <x:c r="K20" s="16" t="n">
        <x:f>E20+G20+H20</x:f>
        <x:v>2</x:v>
      </x:c>
      <x:c r="L20" s="17" t="b">
        <x:v>0</x:v>
      </x:c>
      <x:c r="M20" s="17" t="b">
        <x:v>0</x:v>
      </x:c>
      <x:c r="N20" s="17" t="b">
        <x:v>0</x:v>
      </x:c>
      <x:c r="O20" s="17" t="b">
        <x:v>0</x:v>
      </x:c>
      <x:c r="P20" s="17" t="b">
        <x:v>0</x:v>
      </x:c>
      <x:c r="Q20" s="15" t="str">
        <x:v>Cleaning/task focus matches the observed regulation strategy; affect is inferential, and “moderate” escalation does not match the de-escalating behavioral act.</x:v>
      </x:c>
    </x:row>
    <x:row r="21" ht="48" customHeight="1">
      <x:c r="A21" s="15" t="str">
        <x:v>B020-0f3d70</x:v>
      </x:c>
      <x:c r="B21" s="15" t="str">
        <x:v>d01-pa-h04</x:v>
      </x:c>
      <x:c r="C21" s="16" t="n">
        <x:v>1</x:v>
      </x:c>
      <x:c r="D21" s="16" t="n">
        <x:v>1</x:v>
      </x:c>
      <x:c r="E21" s="16" t="n">
        <x:v>2</x:v>
      </x:c>
      <x:c r="F21" s="16" t="n">
        <x:v>1</x:v>
      </x:c>
      <x:c r="G21" s="16" t="n">
        <x:v>0</x:v>
      </x:c>
      <x:c r="H21" s="16" t="n">
        <x:v>0</x:v>
      </x:c>
      <x:c r="I21" s="16" t="n">
        <x:f>SUM(C21:H21)</x:f>
        <x:v>5</x:v>
      </x:c>
      <x:c r="J21" s="16" t="n">
        <x:f>C21+D21+F21</x:f>
        <x:v>3</x:v>
      </x:c>
      <x:c r="K21" s="16" t="n">
        <x:f>E21+G21+H21</x:f>
        <x:v>2</x:v>
      </x:c>
      <x:c r="L21" s="17" t="b">
        <x:v>0</x:v>
      </x:c>
      <x:c r="M21" s="17" t="b">
        <x:v>0</x:v>
      </x:c>
      <x:c r="N21" s="17" t="b">
        <x:v>0</x:v>
      </x:c>
      <x:c r="O21" s="17" t="b">
        <x:v>0</x:v>
      </x:c>
      <x:c r="P21" s="17" t="b">
        <x:v>0</x:v>
      </x:c>
      <x:c r="Q21" s="15" t="str">
        <x:v>Cleaning/task focus matches the observed regulation strategy; affect is inferential, and “moderate” escalation does not match the de-escalating behavioral act.</x:v>
      </x:c>
    </x:row>
    <x:row r="22" ht="48" customHeight="1">
      <x:c r="A22" s="15" t="str">
        <x:v>B021-c11e91</x:v>
      </x:c>
      <x:c r="B22" s="15" t="str">
        <x:v>d01-pa-h02</x:v>
      </x:c>
      <x:c r="C22" s="16" t="n">
        <x:v>2</x:v>
      </x:c>
      <x:c r="D22" s="16" t="n">
        <x:v>2</x:v>
      </x:c>
      <x:c r="E22" s="16" t="n">
        <x:v>1</x:v>
      </x:c>
      <x:c r="F22" s="16" t="n">
        <x:v>2</x:v>
      </x:c>
      <x:c r="G22" s="16" t="n">
        <x:v>2</x:v>
      </x:c>
      <x:c r="H22" s="16" t="n">
        <x:v>2</x:v>
      </x:c>
      <x:c r="I22" s="16" t="n">
        <x:f>SUM(C22:H22)</x:f>
        <x:v>11</x:v>
      </x:c>
      <x:c r="J22" s="16" t="n">
        <x:f>C22+D22+F22</x:f>
        <x:v>6</x:v>
      </x:c>
      <x:c r="K22" s="16" t="n">
        <x:f>E22+G22+H22</x:f>
        <x:v>5</x:v>
      </x:c>
      <x:c r="L22" s="17" t="b">
        <x:v>0</x:v>
      </x:c>
      <x:c r="M22" s="17" t="b">
        <x:v>0</x:v>
      </x:c>
      <x:c r="N22" s="17" t="b">
        <x:v>0</x:v>
      </x:c>
      <x:c r="O22" s="17" t="b">
        <x:v>0</x:v>
      </x:c>
      <x:c r="P22" s="17" t="b">
        <x:v>0</x:v>
      </x:c>
      <x:c r="Q22" s="15" t="str">
        <x:v>Abandonment meaning and defensive affect match strongly where present; full strategy credit requires pre-emptive distancing/expulsion, not only pursuit or criticism.</x:v>
      </x:c>
    </x:row>
    <x:row r="23" ht="48" customHeight="1">
      <x:c r="A23" s="15" t="str">
        <x:v>B022-313d7b</x:v>
      </x:c>
      <x:c r="B23" s="15" t="str">
        <x:v>d01-pa-h03</x:v>
      </x:c>
      <x:c r="C23" s="16" t="n">
        <x:v>1</x:v>
      </x:c>
      <x:c r="D23" s="16" t="n">
        <x:v>2</x:v>
      </x:c>
      <x:c r="E23" s="16" t="n">
        <x:v>1</x:v>
      </x:c>
      <x:c r="F23" s="16" t="n">
        <x:v>1</x:v>
      </x:c>
      <x:c r="G23" s="16" t="n">
        <x:v>2</x:v>
      </x:c>
      <x:c r="H23" s="16" t="n">
        <x:v>1</x:v>
      </x:c>
      <x:c r="I23" s="16" t="n">
        <x:f>SUM(C23:H23)</x:f>
        <x:v>8</x:v>
      </x:c>
      <x:c r="J23" s="16" t="n">
        <x:f>C23+D23+F23</x:f>
        <x:v>4</x:v>
      </x:c>
      <x:c r="K23" s="16" t="n">
        <x:f>E23+G23+H23</x:f>
        <x:v>4</x:v>
      </x:c>
      <x:c r="L23" s="17" t="b">
        <x:v>0</x:v>
      </x:c>
      <x:c r="M23" s="17" t="b">
        <x:v>0</x:v>
      </x:c>
      <x:c r="N23" s="17" t="b">
        <x:v>0</x:v>
      </x:c>
      <x:c r="O23" s="17" t="b">
        <x:v>0</x:v>
      </x:c>
      <x:c r="P23" s="17" t="b">
        <x:v>0</x:v>
      </x:c>
      <x:c r="Q23" s="15" t="str">
        <x:v>The response captures defensiveness and workload conflict, but usually misses the observed no-win self-judgment and usefulness-as-relational-security mechanism.</x:v>
      </x:c>
    </x:row>
    <x:row r="24" ht="48" customHeight="1">
      <x:c r="A24" s="15" t="str">
        <x:v>B023-118547</x:v>
      </x:c>
      <x:c r="B24" s="15" t="str">
        <x:v>d01-pa-h03</x:v>
      </x:c>
      <x:c r="C24" s="16" t="n">
        <x:v>1</x:v>
      </x:c>
      <x:c r="D24" s="16" t="n">
        <x:v>2</x:v>
      </x:c>
      <x:c r="E24" s="16" t="n">
        <x:v>1</x:v>
      </x:c>
      <x:c r="F24" s="16" t="n">
        <x:v>1</x:v>
      </x:c>
      <x:c r="G24" s="16" t="n">
        <x:v>1</x:v>
      </x:c>
      <x:c r="H24" s="16" t="n">
        <x:v>1</x:v>
      </x:c>
      <x:c r="I24" s="16" t="n">
        <x:f>SUM(C24:H24)</x:f>
        <x:v>7</x:v>
      </x:c>
      <x:c r="J24" s="16" t="n">
        <x:f>C24+D24+F24</x:f>
        <x:v>4</x:v>
      </x:c>
      <x:c r="K24" s="16" t="n">
        <x:f>E24+G24+H24</x:f>
        <x:v>3</x:v>
      </x:c>
      <x:c r="L24" s="17" t="b">
        <x:v>0</x:v>
      </x:c>
      <x:c r="M24" s="17" t="b">
        <x:v>0</x:v>
      </x:c>
      <x:c r="N24" s="17" t="b">
        <x:v>0</x:v>
      </x:c>
      <x:c r="O24" s="17" t="b">
        <x:v>0</x:v>
      </x:c>
      <x:c r="P24" s="17" t="b">
        <x:v>0</x:v>
      </x:c>
      <x:c r="Q24" s="15" t="str">
        <x:v>The response captures defensiveness and workload conflict, but usually misses the observed no-win self-judgment and usefulness-as-relational-security mechanism.</x:v>
      </x:c>
    </x:row>
    <x:row r="25" ht="48" customHeight="1">
      <x:c r="A25" s="15" t="str">
        <x:v>B024-699004</x:v>
      </x:c>
      <x:c r="B25" s="15" t="str">
        <x:v>d01-pa-h04</x:v>
      </x:c>
      <x:c r="C25" s="16" t="n">
        <x:v>1</x:v>
      </x:c>
      <x:c r="D25" s="16" t="n">
        <x:v>1</x:v>
      </x:c>
      <x:c r="E25" s="16" t="n">
        <x:v>2</x:v>
      </x:c>
      <x:c r="F25" s="16" t="n">
        <x:v>1</x:v>
      </x:c>
      <x:c r="G25" s="16" t="n">
        <x:v>0</x:v>
      </x:c>
      <x:c r="H25" s="16" t="n">
        <x:v>0</x:v>
      </x:c>
      <x:c r="I25" s="16" t="n">
        <x:f>SUM(C25:H25)</x:f>
        <x:v>5</x:v>
      </x:c>
      <x:c r="J25" s="16" t="n">
        <x:f>C25+D25+F25</x:f>
        <x:v>3</x:v>
      </x:c>
      <x:c r="K25" s="16" t="n">
        <x:f>E25+G25+H25</x:f>
        <x:v>2</x:v>
      </x:c>
      <x:c r="L25" s="17" t="b">
        <x:v>0</x:v>
      </x:c>
      <x:c r="M25" s="17" t="b">
        <x:v>0</x:v>
      </x:c>
      <x:c r="N25" s="17" t="b">
        <x:v>0</x:v>
      </x:c>
      <x:c r="O25" s="17" t="b">
        <x:v>0</x:v>
      </x:c>
      <x:c r="P25" s="17" t="b">
        <x:v>0</x:v>
      </x:c>
      <x:c r="Q25" s="15" t="str">
        <x:v>Cleaning/task focus matches the observed regulation strategy; affect is inferential, and “moderate” escalation does not match the de-escalating behavioral act.</x:v>
      </x:c>
    </x:row>
    <x:row r="26" ht="48" customHeight="1">
      <x:c r="A26" s="15" t="str">
        <x:v>B025-248f31</x:v>
      </x:c>
      <x:c r="B26" s="15" t="str">
        <x:v>d01-pa-h04</x:v>
      </x:c>
      <x:c r="C26" s="16" t="n">
        <x:v>1</x:v>
      </x:c>
      <x:c r="D26" s="16" t="n">
        <x:v>1</x:v>
      </x:c>
      <x:c r="E26" s="16" t="n">
        <x:v>2</x:v>
      </x:c>
      <x:c r="F26" s="16" t="n">
        <x:v>1</x:v>
      </x:c>
      <x:c r="G26" s="16" t="n">
        <x:v>0</x:v>
      </x:c>
      <x:c r="H26" s="16" t="n">
        <x:v>0</x:v>
      </x:c>
      <x:c r="I26" s="16" t="n">
        <x:f>SUM(C26:H26)</x:f>
        <x:v>5</x:v>
      </x:c>
      <x:c r="J26" s="16" t="n">
        <x:f>C26+D26+F26</x:f>
        <x:v>3</x:v>
      </x:c>
      <x:c r="K26" s="16" t="n">
        <x:f>E26+G26+H26</x:f>
        <x:v>2</x:v>
      </x:c>
      <x:c r="L26" s="17" t="b">
        <x:v>0</x:v>
      </x:c>
      <x:c r="M26" s="17" t="b">
        <x:v>0</x:v>
      </x:c>
      <x:c r="N26" s="17" t="b">
        <x:v>0</x:v>
      </x:c>
      <x:c r="O26" s="17" t="b">
        <x:v>0</x:v>
      </x:c>
      <x:c r="P26" s="17" t="b">
        <x:v>0</x:v>
      </x:c>
      <x:c r="Q26" s="15" t="str">
        <x:v>Cleaning/task focus matches the observed regulation strategy; affect is inferential, and “moderate” escalation does not match the de-escalating behavioral act.</x:v>
      </x:c>
    </x:row>
    <x:row r="27" ht="48" customHeight="1">
      <x:c r="A27" s="15" t="str">
        <x:v>B026-914874</x:v>
      </x:c>
      <x:c r="B27" s="15" t="str">
        <x:v>d01-pa-h01</x:v>
      </x:c>
      <x:c r="C27" s="16" t="n">
        <x:v>1</x:v>
      </x:c>
      <x:c r="D27" s="16" t="n">
        <x:v>1</x:v>
      </x:c>
      <x:c r="E27" s="16" t="n">
        <x:v>1</x:v>
      </x:c>
      <x:c r="F27" s="16" t="n">
        <x:v>1</x:v>
      </x:c>
      <x:c r="G27" s="16" t="n">
        <x:v>0</x:v>
      </x:c>
      <x:c r="H27" s="16" t="n">
        <x:v>1</x:v>
      </x:c>
      <x:c r="I27" s="16" t="n">
        <x:f>SUM(C27:H27)</x:f>
        <x:v>5</x:v>
      </x:c>
      <x:c r="J27" s="16" t="n">
        <x:f>C27+D27+F27</x:f>
        <x:v>3</x:v>
      </x:c>
      <x:c r="K27" s="16" t="n">
        <x:f>E27+G27+H27</x:f>
        <x:v>2</x:v>
      </x:c>
      <x:c r="L27" s="17" t="b">
        <x:v>0</x:v>
      </x:c>
      <x:c r="M27" s="17" t="b">
        <x:v>0</x:v>
      </x:c>
      <x:c r="N27" s="17" t="b">
        <x:v>0</x:v>
      </x:c>
      <x:c r="O27" s="17" t="b">
        <x:v>1</x:v>
      </x:c>
      <x:c r="P27" s="17" t="b">
        <x:v>0</x:v>
      </x:c>
      <x:c r="Q27" s="15" t="str">
        <x:v>Rated against the observed guarded questioning of the vulnerable bid and its rejecting effect; generic warmth or immediate acceptance did not receive full credit.</x:v>
      </x:c>
    </x:row>
    <x:row r="28" ht="48" customHeight="1">
      <x:c r="A28" s="15" t="str">
        <x:v>B027-e7f946</x:v>
      </x:c>
      <x:c r="B28" s="15" t="str">
        <x:v>d01-pa-h02</x:v>
      </x:c>
      <x:c r="C28" s="16" t="n">
        <x:v>1</x:v>
      </x:c>
      <x:c r="D28" s="16" t="n">
        <x:v>1</x:v>
      </x:c>
      <x:c r="E28" s="16" t="n">
        <x:v>1</x:v>
      </x:c>
      <x:c r="F28" s="16" t="n">
        <x:v>1</x:v>
      </x:c>
      <x:c r="G28" s="16" t="n">
        <x:v>1</x:v>
      </x:c>
      <x:c r="H28" s="16" t="n">
        <x:v>2</x:v>
      </x:c>
      <x:c r="I28" s="16" t="n">
        <x:f>SUM(C28:H28)</x:f>
        <x:v>7</x:v>
      </x:c>
      <x:c r="J28" s="16" t="n">
        <x:f>C28+D28+F28</x:f>
        <x:v>3</x:v>
      </x:c>
      <x:c r="K28" s="16" t="n">
        <x:f>E28+G28+H28</x:f>
        <x:v>4</x:v>
      </x:c>
      <x:c r="L28" s="17" t="b">
        <x:v>0</x:v>
      </x:c>
      <x:c r="M28" s="17" t="b">
        <x:v>0</x:v>
      </x:c>
      <x:c r="N28" s="17" t="b">
        <x:v>0</x:v>
      </x:c>
      <x:c r="O28" s="17" t="b">
        <x:v>0</x:v>
      </x:c>
      <x:c r="P28" s="17" t="b">
        <x:v>0</x:v>
      </x:c>
      <x:c r="Q28" s="15" t="str">
        <x:v>Abandonment meaning and defensive affect match strongly where present; full strategy credit requires pre-emptive distancing/expulsion, not only pursuit or criticism.</x:v>
      </x:c>
    </x:row>
    <x:row r="29" ht="48" customHeight="1">
      <x:c r="A29" s="15" t="str">
        <x:v>B028-a9f5d1</x:v>
      </x:c>
      <x:c r="B29" s="15" t="str">
        <x:v>d01-pa-h01</x:v>
      </x:c>
      <x:c r="C29" s="16" t="n">
        <x:v>2</x:v>
      </x:c>
      <x:c r="D29" s="16" t="n">
        <x:v>1</x:v>
      </x:c>
      <x:c r="E29" s="16" t="n">
        <x:v>2</x:v>
      </x:c>
      <x:c r="F29" s="16" t="n">
        <x:v>1</x:v>
      </x:c>
      <x:c r="G29" s="16" t="n">
        <x:v>1</x:v>
      </x:c>
      <x:c r="H29" s="16" t="n">
        <x:v>2</x:v>
      </x:c>
      <x:c r="I29" s="16" t="n">
        <x:f>SUM(C29:H29)</x:f>
        <x:v>9</x:v>
      </x:c>
      <x:c r="J29" s="16" t="n">
        <x:f>C29+D29+F29</x:f>
        <x:v>4</x:v>
      </x:c>
      <x:c r="K29" s="16" t="n">
        <x:f>E29+G29+H29</x:f>
        <x:v>5</x:v>
      </x:c>
      <x:c r="L29" s="17" t="b">
        <x:v>0</x:v>
      </x:c>
      <x:c r="M29" s="17" t="b">
        <x:v>0</x:v>
      </x:c>
      <x:c r="N29" s="17" t="b">
        <x:v>0</x:v>
      </x:c>
      <x:c r="O29" s="17" t="b">
        <x:v>0</x:v>
      </x:c>
      <x:c r="P29" s="17" t="b">
        <x:v>0</x:v>
      </x:c>
      <x:c r="Q29" s="15" t="str">
        <x:v>Rated against the observed guarded questioning of the vulnerable bid and its rejecting effect; generic warmth or immediate acceptance did not receive full credit.</x:v>
      </x:c>
    </x:row>
    <x:row r="30" ht="48" customHeight="1">
      <x:c r="A30" s="15" t="str">
        <x:v>B029-701705</x:v>
      </x:c>
      <x:c r="B30" s="15" t="str">
        <x:v>d01-pa-h04</x:v>
      </x:c>
      <x:c r="C30" s="16" t="n">
        <x:v>1</x:v>
      </x:c>
      <x:c r="D30" s="16" t="n">
        <x:v>1</x:v>
      </x:c>
      <x:c r="E30" s="16" t="n">
        <x:v>2</x:v>
      </x:c>
      <x:c r="F30" s="16" t="n">
        <x:v>1</x:v>
      </x:c>
      <x:c r="G30" s="16" t="n">
        <x:v>0</x:v>
      </x:c>
      <x:c r="H30" s="16" t="n">
        <x:v>1</x:v>
      </x:c>
      <x:c r="I30" s="16" t="n">
        <x:f>SUM(C30:H30)</x:f>
        <x:v>6</x:v>
      </x:c>
      <x:c r="J30" s="16" t="n">
        <x:f>C30+D30+F30</x:f>
        <x:v>3</x:v>
      </x:c>
      <x:c r="K30" s="16" t="n">
        <x:f>E30+G30+H30</x:f>
        <x:v>3</x:v>
      </x:c>
      <x:c r="L30" s="17" t="b">
        <x:v>0</x:v>
      </x:c>
      <x:c r="M30" s="17" t="b">
        <x:v>0</x:v>
      </x:c>
      <x:c r="N30" s="17" t="b">
        <x:v>0</x:v>
      </x:c>
      <x:c r="O30" s="17" t="b">
        <x:v>0</x:v>
      </x:c>
      <x:c r="P30" s="17" t="b">
        <x:v>0</x:v>
      </x:c>
      <x:c r="Q30" s="15" t="str">
        <x:v>Cleaning/task focus matches the observed regulation strategy; affect is inferential, and “moderate” escalation does not match the de-escalating behavioral act.</x:v>
      </x:c>
    </x:row>
    <x:row r="31" ht="48" customHeight="1">
      <x:c r="A31" s="15" t="str">
        <x:v>B030-d4a405</x:v>
      </x:c>
      <x:c r="B31" s="15" t="str">
        <x:v>d01-pa-h02</x:v>
      </x:c>
      <x:c r="C31" s="16" t="n">
        <x:v>1</x:v>
      </x:c>
      <x:c r="D31" s="16" t="n">
        <x:v>1</x:v>
      </x:c>
      <x:c r="E31" s="16" t="n">
        <x:v>1</x:v>
      </x:c>
      <x:c r="F31" s="16" t="n">
        <x:v>1</x:v>
      </x:c>
      <x:c r="G31" s="16" t="n">
        <x:v>1</x:v>
      </x:c>
      <x:c r="H31" s="16" t="n">
        <x:v>2</x:v>
      </x:c>
      <x:c r="I31" s="16" t="n">
        <x:f>SUM(C31:H31)</x:f>
        <x:v>7</x:v>
      </x:c>
      <x:c r="J31" s="16" t="n">
        <x:f>C31+D31+F31</x:f>
        <x:v>3</x:v>
      </x:c>
      <x:c r="K31" s="16" t="n">
        <x:f>E31+G31+H31</x:f>
        <x:v>4</x:v>
      </x:c>
      <x:c r="L31" s="17" t="b">
        <x:v>0</x:v>
      </x:c>
      <x:c r="M31" s="17" t="b">
        <x:v>0</x:v>
      </x:c>
      <x:c r="N31" s="17" t="b">
        <x:v>0</x:v>
      </x:c>
      <x:c r="O31" s="17" t="b">
        <x:v>0</x:v>
      </x:c>
      <x:c r="P31" s="17" t="b">
        <x:v>0</x:v>
      </x:c>
      <x:c r="Q31" s="15" t="str">
        <x:v>Abandonment meaning and defensive affect match strongly where present; full strategy credit requires pre-emptive distancing/expulsion, not only pursuit or criticism.</x:v>
      </x:c>
    </x:row>
    <x:row r="32" ht="48" customHeight="1">
      <x:c r="A32" s="15" t="str">
        <x:v>B031-66fd88</x:v>
      </x:c>
      <x:c r="B32" s="15" t="str">
        <x:v>d01-pa-h03</x:v>
      </x:c>
      <x:c r="C32" s="16" t="n">
        <x:v>1</x:v>
      </x:c>
      <x:c r="D32" s="16" t="n">
        <x:v>2</x:v>
      </x:c>
      <x:c r="E32" s="16" t="n">
        <x:v>1</x:v>
      </x:c>
      <x:c r="F32" s="16" t="n">
        <x:v>1</x:v>
      </x:c>
      <x:c r="G32" s="16" t="n">
        <x:v>1</x:v>
      </x:c>
      <x:c r="H32" s="16" t="n">
        <x:v>1</x:v>
      </x:c>
      <x:c r="I32" s="16" t="n">
        <x:f>SUM(C32:H32)</x:f>
        <x:v>7</x:v>
      </x:c>
      <x:c r="J32" s="16" t="n">
        <x:f>C32+D32+F32</x:f>
        <x:v>4</x:v>
      </x:c>
      <x:c r="K32" s="16" t="n">
        <x:f>E32+G32+H32</x:f>
        <x:v>3</x:v>
      </x:c>
      <x:c r="L32" s="17" t="b">
        <x:v>0</x:v>
      </x:c>
      <x:c r="M32" s="17" t="b">
        <x:v>0</x:v>
      </x:c>
      <x:c r="N32" s="17" t="b">
        <x:v>0</x:v>
      </x:c>
      <x:c r="O32" s="17" t="b">
        <x:v>0</x:v>
      </x:c>
      <x:c r="P32" s="17" t="b">
        <x:v>0</x:v>
      </x:c>
      <x:c r="Q32" s="15" t="str">
        <x:v>The response captures defensiveness and workload conflict, but usually misses the observed no-win self-judgment and usefulness-as-relational-security mechanism.</x:v>
      </x:c>
    </x:row>
    <x:row r="33" ht="48" customHeight="1">
      <x:c r="A33" s="15" t="str">
        <x:v>B032-1fd14c</x:v>
      </x:c>
      <x:c r="B33" s="15" t="str">
        <x:v>d01-pa-h04</x:v>
      </x:c>
      <x:c r="C33" s="16" t="n">
        <x:v>1</x:v>
      </x:c>
      <x:c r="D33" s="16" t="n">
        <x:v>1</x:v>
      </x:c>
      <x:c r="E33" s="16" t="n">
        <x:v>2</x:v>
      </x:c>
      <x:c r="F33" s="16" t="n">
        <x:v>1</x:v>
      </x:c>
      <x:c r="G33" s="16" t="n">
        <x:v>0</x:v>
      </x:c>
      <x:c r="H33" s="16" t="n">
        <x:v>0</x:v>
      </x:c>
      <x:c r="I33" s="16" t="n">
        <x:f>SUM(C33:H33)</x:f>
        <x:v>5</x:v>
      </x:c>
      <x:c r="J33" s="16" t="n">
        <x:f>C33+D33+F33</x:f>
        <x:v>3</x:v>
      </x:c>
      <x:c r="K33" s="16" t="n">
        <x:f>E33+G33+H33</x:f>
        <x:v>2</x:v>
      </x:c>
      <x:c r="L33" s="17" t="b">
        <x:v>0</x:v>
      </x:c>
      <x:c r="M33" s="17" t="b">
        <x:v>0</x:v>
      </x:c>
      <x:c r="N33" s="17" t="b">
        <x:v>0</x:v>
      </x:c>
      <x:c r="O33" s="17" t="b">
        <x:v>0</x:v>
      </x:c>
      <x:c r="P33" s="17" t="b">
        <x:v>0</x:v>
      </x:c>
      <x:c r="Q33" s="15" t="str">
        <x:v>Cleaning/task focus matches the observed regulation strategy; affect is inferential, and “moderate” escalation does not match the de-escalating behavioral act.</x:v>
      </x:c>
    </x:row>
    <x:row r="34" ht="48" customHeight="1">
      <x:c r="A34" s="15" t="str">
        <x:v>B033-98cdae</x:v>
      </x:c>
      <x:c r="B34" s="15" t="str">
        <x:v>d01-pa-h02</x:v>
      </x:c>
      <x:c r="C34" s="16" t="n">
        <x:v>2</x:v>
      </x:c>
      <x:c r="D34" s="16" t="n">
        <x:v>2</x:v>
      </x:c>
      <x:c r="E34" s="16" t="n">
        <x:v>2</x:v>
      </x:c>
      <x:c r="F34" s="16" t="n">
        <x:v>2</x:v>
      </x:c>
      <x:c r="G34" s="16" t="n">
        <x:v>1</x:v>
      </x:c>
      <x:c r="H34" s="16" t="n">
        <x:v>2</x:v>
      </x:c>
      <x:c r="I34" s="16" t="n">
        <x:f>SUM(C34:H34)</x:f>
        <x:v>11</x:v>
      </x:c>
      <x:c r="J34" s="16" t="n">
        <x:f>C34+D34+F34</x:f>
        <x:v>6</x:v>
      </x:c>
      <x:c r="K34" s="16" t="n">
        <x:f>E34+G34+H34</x:f>
        <x:v>5</x:v>
      </x:c>
      <x:c r="L34" s="17" t="b">
        <x:v>0</x:v>
      </x:c>
      <x:c r="M34" s="17" t="b">
        <x:v>0</x:v>
      </x:c>
      <x:c r="N34" s="17" t="b">
        <x:v>0</x:v>
      </x:c>
      <x:c r="O34" s="17" t="b">
        <x:v>0</x:v>
      </x:c>
      <x:c r="P34" s="17" t="b">
        <x:v>0</x:v>
      </x:c>
      <x:c r="Q34" s="15" t="str">
        <x:v>Abandonment meaning and defensive affect match strongly where present; full strategy credit requires pre-emptive distancing/expulsion, not only pursuit or criticism.</x:v>
      </x:c>
    </x:row>
    <x:row r="35" ht="48" customHeight="1">
      <x:c r="A35" s="15" t="str">
        <x:v>B034-6c29ae</x:v>
      </x:c>
      <x:c r="B35" s="15" t="str">
        <x:v>d01-pa-h03</x:v>
      </x:c>
      <x:c r="C35" s="16" t="n">
        <x:v>1</x:v>
      </x:c>
      <x:c r="D35" s="16" t="n">
        <x:v>2</x:v>
      </x:c>
      <x:c r="E35" s="16" t="n">
        <x:v>1</x:v>
      </x:c>
      <x:c r="F35" s="16" t="n">
        <x:v>1</x:v>
      </x:c>
      <x:c r="G35" s="16" t="n">
        <x:v>2</x:v>
      </x:c>
      <x:c r="H35" s="16" t="n">
        <x:v>1</x:v>
      </x:c>
      <x:c r="I35" s="16" t="n">
        <x:f>SUM(C35:H35)</x:f>
        <x:v>8</x:v>
      </x:c>
      <x:c r="J35" s="16" t="n">
        <x:f>C35+D35+F35</x:f>
        <x:v>4</x:v>
      </x:c>
      <x:c r="K35" s="16" t="n">
        <x:f>E35+G35+H35</x:f>
        <x:v>4</x:v>
      </x:c>
      <x:c r="L35" s="17" t="b">
        <x:v>0</x:v>
      </x:c>
      <x:c r="M35" s="17" t="b">
        <x:v>0</x:v>
      </x:c>
      <x:c r="N35" s="17" t="b">
        <x:v>0</x:v>
      </x:c>
      <x:c r="O35" s="17" t="b">
        <x:v>0</x:v>
      </x:c>
      <x:c r="P35" s="17" t="b">
        <x:v>0</x:v>
      </x:c>
      <x:c r="Q35" s="15" t="str">
        <x:v>The response captures defensiveness and workload conflict, but usually misses the observed no-win self-judgment and usefulness-as-relational-security mechanism.</x:v>
      </x:c>
    </x:row>
    <x:row r="36" ht="48" customHeight="1">
      <x:c r="A36" s="15" t="str">
        <x:v>B035-28ee02</x:v>
      </x:c>
      <x:c r="B36" s="15" t="str">
        <x:v>d01-pa-h03</x:v>
      </x:c>
      <x:c r="C36" s="16" t="n">
        <x:v>1</x:v>
      </x:c>
      <x:c r="D36" s="16" t="n">
        <x:v>2</x:v>
      </x:c>
      <x:c r="E36" s="16" t="n">
        <x:v>1</x:v>
      </x:c>
      <x:c r="F36" s="16" t="n">
        <x:v>1</x:v>
      </x:c>
      <x:c r="G36" s="16" t="n">
        <x:v>2</x:v>
      </x:c>
      <x:c r="H36" s="16" t="n">
        <x:v>1</x:v>
      </x:c>
      <x:c r="I36" s="16" t="n">
        <x:f>SUM(C36:H36)</x:f>
        <x:v>8</x:v>
      </x:c>
      <x:c r="J36" s="16" t="n">
        <x:f>C36+D36+F36</x:f>
        <x:v>4</x:v>
      </x:c>
      <x:c r="K36" s="16" t="n">
        <x:f>E36+G36+H36</x:f>
        <x:v>4</x:v>
      </x:c>
      <x:c r="L36" s="17" t="b">
        <x:v>0</x:v>
      </x:c>
      <x:c r="M36" s="17" t="b">
        <x:v>0</x:v>
      </x:c>
      <x:c r="N36" s="17" t="b">
        <x:v>0</x:v>
      </x:c>
      <x:c r="O36" s="17" t="b">
        <x:v>0</x:v>
      </x:c>
      <x:c r="P36" s="17" t="b">
        <x:v>0</x:v>
      </x:c>
      <x:c r="Q36" s="15" t="str">
        <x:v>The response captures defensiveness and workload conflict, but usually misses the observed no-win self-judgment and usefulness-as-relational-security mechanism.</x:v>
      </x:c>
    </x:row>
    <x:row r="37" ht="48" customHeight="1">
      <x:c r="A37" s="15" t="str">
        <x:v>B036-49a07a</x:v>
      </x:c>
      <x:c r="B37" s="15" t="str">
        <x:v>d01-pa-h02</x:v>
      </x:c>
      <x:c r="C37" s="16" t="n">
        <x:v>2</x:v>
      </x:c>
      <x:c r="D37" s="16" t="n">
        <x:v>2</x:v>
      </x:c>
      <x:c r="E37" s="16" t="n">
        <x:v>2</x:v>
      </x:c>
      <x:c r="F37" s="16" t="n">
        <x:v>2</x:v>
      </x:c>
      <x:c r="G37" s="16" t="n">
        <x:v>1</x:v>
      </x:c>
      <x:c r="H37" s="16" t="n">
        <x:v>2</x:v>
      </x:c>
      <x:c r="I37" s="16" t="n">
        <x:f>SUM(C37:H37)</x:f>
        <x:v>11</x:v>
      </x:c>
      <x:c r="J37" s="16" t="n">
        <x:f>C37+D37+F37</x:f>
        <x:v>6</x:v>
      </x:c>
      <x:c r="K37" s="16" t="n">
        <x:f>E37+G37+H37</x:f>
        <x:v>5</x:v>
      </x:c>
      <x:c r="L37" s="17" t="b">
        <x:v>0</x:v>
      </x:c>
      <x:c r="M37" s="17" t="b">
        <x:v>0</x:v>
      </x:c>
      <x:c r="N37" s="17" t="b">
        <x:v>0</x:v>
      </x:c>
      <x:c r="O37" s="17" t="b">
        <x:v>0</x:v>
      </x:c>
      <x:c r="P37" s="17" t="b">
        <x:v>0</x:v>
      </x:c>
      <x:c r="Q37" s="15" t="str">
        <x:v>Abandonment meaning and defensive affect match strongly where present; full strategy credit requires pre-emptive distancing/expulsion, not only pursuit or criticism.</x:v>
      </x:c>
    </x:row>
    <x:row r="38" ht="48" customHeight="1">
      <x:c r="A38" s="15" t="str">
        <x:v>B037-0edbc0</x:v>
      </x:c>
      <x:c r="B38" s="15" t="str">
        <x:v>d01-pa-h03</x:v>
      </x:c>
      <x:c r="C38" s="16" t="n">
        <x:v>1</x:v>
      </x:c>
      <x:c r="D38" s="16" t="n">
        <x:v>2</x:v>
      </x:c>
      <x:c r="E38" s="16" t="n">
        <x:v>1</x:v>
      </x:c>
      <x:c r="F38" s="16" t="n">
        <x:v>1</x:v>
      </x:c>
      <x:c r="G38" s="16" t="n">
        <x:v>1</x:v>
      </x:c>
      <x:c r="H38" s="16" t="n">
        <x:v>1</x:v>
      </x:c>
      <x:c r="I38" s="16" t="n">
        <x:f>SUM(C38:H38)</x:f>
        <x:v>7</x:v>
      </x:c>
      <x:c r="J38" s="16" t="n">
        <x:f>C38+D38+F38</x:f>
        <x:v>4</x:v>
      </x:c>
      <x:c r="K38" s="16" t="n">
        <x:f>E38+G38+H38</x:f>
        <x:v>3</x:v>
      </x:c>
      <x:c r="L38" s="17" t="b">
        <x:v>0</x:v>
      </x:c>
      <x:c r="M38" s="17" t="b">
        <x:v>0</x:v>
      </x:c>
      <x:c r="N38" s="17" t="b">
        <x:v>0</x:v>
      </x:c>
      <x:c r="O38" s="17" t="b">
        <x:v>0</x:v>
      </x:c>
      <x:c r="P38" s="17" t="b">
        <x:v>0</x:v>
      </x:c>
      <x:c r="Q38" s="15" t="str">
        <x:v>The response captures defensiveness and workload conflict, but usually misses the observed no-win self-judgment and usefulness-as-relational-security mechanism.</x:v>
      </x:c>
    </x:row>
    <x:row r="39" ht="48" customHeight="1">
      <x:c r="A39" s="15" t="str">
        <x:v>B038-55c680</x:v>
      </x:c>
      <x:c r="B39" s="15" t="str">
        <x:v>d01-pa-h04</x:v>
      </x:c>
      <x:c r="C39" s="16" t="n">
        <x:v>1</x:v>
      </x:c>
      <x:c r="D39" s="16" t="n">
        <x:v>1</x:v>
      </x:c>
      <x:c r="E39" s="16" t="n">
        <x:v>2</x:v>
      </x:c>
      <x:c r="F39" s="16" t="n">
        <x:v>1</x:v>
      </x:c>
      <x:c r="G39" s="16" t="n">
        <x:v>0</x:v>
      </x:c>
      <x:c r="H39" s="16" t="n">
        <x:v>0</x:v>
      </x:c>
      <x:c r="I39" s="16" t="n">
        <x:f>SUM(C39:H39)</x:f>
        <x:v>5</x:v>
      </x:c>
      <x:c r="J39" s="16" t="n">
        <x:f>C39+D39+F39</x:f>
        <x:v>3</x:v>
      </x:c>
      <x:c r="K39" s="16" t="n">
        <x:f>E39+G39+H39</x:f>
        <x:v>2</x:v>
      </x:c>
      <x:c r="L39" s="17" t="b">
        <x:v>0</x:v>
      </x:c>
      <x:c r="M39" s="17" t="b">
        <x:v>0</x:v>
      </x:c>
      <x:c r="N39" s="17" t="b">
        <x:v>0</x:v>
      </x:c>
      <x:c r="O39" s="17" t="b">
        <x:v>0</x:v>
      </x:c>
      <x:c r="P39" s="17" t="b">
        <x:v>0</x:v>
      </x:c>
      <x:c r="Q39" s="15" t="str">
        <x:v>Cleaning/task focus matches the observed regulation strategy; affect is inferential, and “moderate” escalation does not match the de-escalating behavioral act.</x:v>
      </x:c>
    </x:row>
    <x:row r="40" ht="48" customHeight="1">
      <x:c r="A40" s="15" t="str">
        <x:v>B039-8dbbea</x:v>
      </x:c>
      <x:c r="B40" s="15" t="str">
        <x:v>d01-pa-h03</x:v>
      </x:c>
      <x:c r="C40" s="16" t="n">
        <x:v>1</x:v>
      </x:c>
      <x:c r="D40" s="16" t="n">
        <x:v>2</x:v>
      </x:c>
      <x:c r="E40" s="16" t="n">
        <x:v>1</x:v>
      </x:c>
      <x:c r="F40" s="16" t="n">
        <x:v>1</x:v>
      </x:c>
      <x:c r="G40" s="16" t="n">
        <x:v>1</x:v>
      </x:c>
      <x:c r="H40" s="16" t="n">
        <x:v>1</x:v>
      </x:c>
      <x:c r="I40" s="16" t="n">
        <x:f>SUM(C40:H40)</x:f>
        <x:v>7</x:v>
      </x:c>
      <x:c r="J40" s="16" t="n">
        <x:f>C40+D40+F40</x:f>
        <x:v>4</x:v>
      </x:c>
      <x:c r="K40" s="16" t="n">
        <x:f>E40+G40+H40</x:f>
        <x:v>3</x:v>
      </x:c>
      <x:c r="L40" s="17" t="b">
        <x:v>0</x:v>
      </x:c>
      <x:c r="M40" s="17" t="b">
        <x:v>0</x:v>
      </x:c>
      <x:c r="N40" s="17" t="b">
        <x:v>0</x:v>
      </x:c>
      <x:c r="O40" s="17" t="b">
        <x:v>0</x:v>
      </x:c>
      <x:c r="P40" s="17" t="b">
        <x:v>0</x:v>
      </x:c>
      <x:c r="Q40" s="15" t="str">
        <x:v>The response captures defensiveness and workload conflict, but usually misses the observed no-win self-judgment and usefulness-as-relational-security mechanism.</x:v>
      </x:c>
    </x:row>
    <x:row r="41" ht="48" customHeight="1">
      <x:c r="A41" s="15" t="str">
        <x:v>B040-f9e8b1</x:v>
      </x:c>
      <x:c r="B41" s="15" t="str">
        <x:v>d01-pa-h04</x:v>
      </x:c>
      <x:c r="C41" s="16" t="n">
        <x:v>1</x:v>
      </x:c>
      <x:c r="D41" s="16" t="n">
        <x:v>1</x:v>
      </x:c>
      <x:c r="E41" s="16" t="n">
        <x:v>2</x:v>
      </x:c>
      <x:c r="F41" s="16" t="n">
        <x:v>1</x:v>
      </x:c>
      <x:c r="G41" s="16" t="n">
        <x:v>0</x:v>
      </x:c>
      <x:c r="H41" s="16" t="n">
        <x:v>0</x:v>
      </x:c>
      <x:c r="I41" s="16" t="n">
        <x:f>SUM(C41:H41)</x:f>
        <x:v>5</x:v>
      </x:c>
      <x:c r="J41" s="16" t="n">
        <x:f>C41+D41+F41</x:f>
        <x:v>3</x:v>
      </x:c>
      <x:c r="K41" s="16" t="n">
        <x:f>E41+G41+H41</x:f>
        <x:v>2</x:v>
      </x:c>
      <x:c r="L41" s="17" t="b">
        <x:v>0</x:v>
      </x:c>
      <x:c r="M41" s="17" t="b">
        <x:v>0</x:v>
      </x:c>
      <x:c r="N41" s="17" t="b">
        <x:v>0</x:v>
      </x:c>
      <x:c r="O41" s="17" t="b">
        <x:v>0</x:v>
      </x:c>
      <x:c r="P41" s="17" t="b">
        <x:v>0</x:v>
      </x:c>
      <x:c r="Q41" s="15" t="str">
        <x:v>Cleaning/task focus matches the observed regulation strategy; affect is inferential, and “moderate” escalation does not match the de-escalating behavioral act.</x:v>
      </x:c>
    </x:row>
    <x:row r="42" ht="48" customHeight="1">
      <x:c r="A42" s="15" t="str">
        <x:v>B041-7f94e5</x:v>
      </x:c>
      <x:c r="B42" s="15" t="str">
        <x:v>d01-pa-h04</x:v>
      </x:c>
      <x:c r="C42" s="16" t="n">
        <x:v>1</x:v>
      </x:c>
      <x:c r="D42" s="16" t="n">
        <x:v>1</x:v>
      </x:c>
      <x:c r="E42" s="16" t="n">
        <x:v>2</x:v>
      </x:c>
      <x:c r="F42" s="16" t="n">
        <x:v>1</x:v>
      </x:c>
      <x:c r="G42" s="16" t="n">
        <x:v>0</x:v>
      </x:c>
      <x:c r="H42" s="16" t="n">
        <x:v>0</x:v>
      </x:c>
      <x:c r="I42" s="16" t="n">
        <x:f>SUM(C42:H42)</x:f>
        <x:v>5</x:v>
      </x:c>
      <x:c r="J42" s="16" t="n">
        <x:f>C42+D42+F42</x:f>
        <x:v>3</x:v>
      </x:c>
      <x:c r="K42" s="16" t="n">
        <x:f>E42+G42+H42</x:f>
        <x:v>2</x:v>
      </x:c>
      <x:c r="L42" s="17" t="b">
        <x:v>0</x:v>
      </x:c>
      <x:c r="M42" s="17" t="b">
        <x:v>0</x:v>
      </x:c>
      <x:c r="N42" s="17" t="b">
        <x:v>0</x:v>
      </x:c>
      <x:c r="O42" s="17" t="b">
        <x:v>0</x:v>
      </x:c>
      <x:c r="P42" s="17" t="b">
        <x:v>0</x:v>
      </x:c>
      <x:c r="Q42" s="15" t="str">
        <x:v>Cleaning/task focus matches the observed regulation strategy; affect is inferential, and “moderate” escalation does not match the de-escalating behavioral act.</x:v>
      </x:c>
    </x:row>
    <x:row r="43" ht="48" customHeight="1">
      <x:c r="A43" s="15" t="str">
        <x:v>B042-9e191c</x:v>
      </x:c>
      <x:c r="B43" s="15" t="str">
        <x:v>d01-pa-h01</x:v>
      </x:c>
      <x:c r="C43" s="16" t="n">
        <x:v>1</x:v>
      </x:c>
      <x:c r="D43" s="16" t="n">
        <x:v>1</x:v>
      </x:c>
      <x:c r="E43" s="16" t="n">
        <x:v>2</x:v>
      </x:c>
      <x:c r="F43" s="16" t="n">
        <x:v>1</x:v>
      </x:c>
      <x:c r="G43" s="16" t="n">
        <x:v>1</x:v>
      </x:c>
      <x:c r="H43" s="16" t="n">
        <x:v>1</x:v>
      </x:c>
      <x:c r="I43" s="16" t="n">
        <x:f>SUM(C43:H43)</x:f>
        <x:v>7</x:v>
      </x:c>
      <x:c r="J43" s="16" t="n">
        <x:f>C43+D43+F43</x:f>
        <x:v>3</x:v>
      </x:c>
      <x:c r="K43" s="16" t="n">
        <x:f>E43+G43+H43</x:f>
        <x:v>4</x:v>
      </x:c>
      <x:c r="L43" s="17" t="b">
        <x:v>0</x:v>
      </x:c>
      <x:c r="M43" s="17" t="b">
        <x:v>0</x:v>
      </x:c>
      <x:c r="N43" s="17" t="b">
        <x:v>0</x:v>
      </x:c>
      <x:c r="O43" s="17" t="b">
        <x:v>0</x:v>
      </x:c>
      <x:c r="P43" s="17" t="b">
        <x:v>0</x:v>
      </x:c>
      <x:c r="Q43" s="15" t="str">
        <x:v>Rated against the observed guarded questioning of the vulnerable bid and its rejecting effect; generic warmth or immediate acceptance did not receive full credit.</x:v>
      </x:c>
    </x:row>
    <x:row r="44" ht="48" customHeight="1">
      <x:c r="A44" s="15" t="str">
        <x:v>B043-cfb4be</x:v>
      </x:c>
      <x:c r="B44" s="15" t="str">
        <x:v>d01-pa-h01</x:v>
      </x:c>
      <x:c r="C44" s="16" t="n">
        <x:v>1</x:v>
      </x:c>
      <x:c r="D44" s="16" t="n">
        <x:v>1</x:v>
      </x:c>
      <x:c r="E44" s="16" t="n">
        <x:v>2</x:v>
      </x:c>
      <x:c r="F44" s="16" t="n">
        <x:v>1</x:v>
      </x:c>
      <x:c r="G44" s="16" t="n">
        <x:v>1</x:v>
      </x:c>
      <x:c r="H44" s="16" t="n">
        <x:v>1</x:v>
      </x:c>
      <x:c r="I44" s="16" t="n">
        <x:f>SUM(C44:H44)</x:f>
        <x:v>7</x:v>
      </x:c>
      <x:c r="J44" s="16" t="n">
        <x:f>C44+D44+F44</x:f>
        <x:v>3</x:v>
      </x:c>
      <x:c r="K44" s="16" t="n">
        <x:f>E44+G44+H44</x:f>
        <x:v>4</x:v>
      </x:c>
      <x:c r="L44" s="17" t="b">
        <x:v>0</x:v>
      </x:c>
      <x:c r="M44" s="17" t="b">
        <x:v>0</x:v>
      </x:c>
      <x:c r="N44" s="17" t="b">
        <x:v>0</x:v>
      </x:c>
      <x:c r="O44" s="17" t="b">
        <x:v>0</x:v>
      </x:c>
      <x:c r="P44" s="17" t="b">
        <x:v>0</x:v>
      </x:c>
      <x:c r="Q44" s="15" t="str">
        <x:v>Rated against the observed guarded questioning of the vulnerable bid and its rejecting effect; generic warmth or immediate acceptance did not receive full credit.</x:v>
      </x:c>
    </x:row>
    <x:row r="45" ht="48" customHeight="1">
      <x:c r="A45" s="15" t="str">
        <x:v>B044-91a2e5</x:v>
      </x:c>
      <x:c r="B45" s="15" t="str">
        <x:v>d01-pa-h02</x:v>
      </x:c>
      <x:c r="C45" s="16" t="n">
        <x:v>2</x:v>
      </x:c>
      <x:c r="D45" s="16" t="n">
        <x:v>2</x:v>
      </x:c>
      <x:c r="E45" s="16" t="n">
        <x:v>2</x:v>
      </x:c>
      <x:c r="F45" s="16" t="n">
        <x:v>2</x:v>
      </x:c>
      <x:c r="G45" s="16" t="n">
        <x:v>2</x:v>
      </x:c>
      <x:c r="H45" s="16" t="n">
        <x:v>2</x:v>
      </x:c>
      <x:c r="I45" s="16" t="n">
        <x:f>SUM(C45:H45)</x:f>
        <x:v>12</x:v>
      </x:c>
      <x:c r="J45" s="16" t="n">
        <x:f>C45+D45+F45</x:f>
        <x:v>6</x:v>
      </x:c>
      <x:c r="K45" s="16" t="n">
        <x:f>E45+G45+H45</x:f>
        <x:v>6</x:v>
      </x:c>
      <x:c r="L45" s="17" t="b">
        <x:v>0</x:v>
      </x:c>
      <x:c r="M45" s="17" t="b">
        <x:v>0</x:v>
      </x:c>
      <x:c r="N45" s="17" t="b">
        <x:v>0</x:v>
      </x:c>
      <x:c r="O45" s="17" t="b">
        <x:v>0</x:v>
      </x:c>
      <x:c r="P45" s="17" t="b">
        <x:v>0</x:v>
      </x:c>
      <x:c r="Q45" s="15" t="str">
        <x:v>Abandonment meaning and defensive affect match strongly where present; full strategy credit requires pre-emptive distancing/expulsion, not only pursuit or criticism.</x:v>
      </x:c>
    </x:row>
    <x:row r="46" ht="48" customHeight="1">
      <x:c r="A46" s="15" t="str">
        <x:v>B045-3da60e</x:v>
      </x:c>
      <x:c r="B46" s="15" t="str">
        <x:v>d01-pa-h01</x:v>
      </x:c>
      <x:c r="C46" s="16" t="n">
        <x:v>2</x:v>
      </x:c>
      <x:c r="D46" s="16" t="n">
        <x:v>0</x:v>
      </x:c>
      <x:c r="E46" s="16" t="n">
        <x:v>1</x:v>
      </x:c>
      <x:c r="F46" s="16" t="n">
        <x:v>1</x:v>
      </x:c>
      <x:c r="G46" s="16" t="n">
        <x:v>0</x:v>
      </x:c>
      <x:c r="H46" s="16" t="n">
        <x:v>0</x:v>
      </x:c>
      <x:c r="I46" s="16" t="n">
        <x:f>SUM(C46:H46)</x:f>
        <x:v>4</x:v>
      </x:c>
      <x:c r="J46" s="16" t="n">
        <x:f>C46+D46+F46</x:f>
        <x:v>3</x:v>
      </x:c>
      <x:c r="K46" s="16" t="n">
        <x:f>E46+G46+H46</x:f>
        <x:v>1</x:v>
      </x:c>
      <x:c r="L46" s="17" t="b">
        <x:v>0</x:v>
      </x:c>
      <x:c r="M46" s="17" t="b">
        <x:v>0</x:v>
      </x:c>
      <x:c r="N46" s="17" t="b">
        <x:v>0</x:v>
      </x:c>
      <x:c r="O46" s="17" t="b">
        <x:v>1</x:v>
      </x:c>
      <x:c r="P46" s="17" t="b">
        <x:v>0</x:v>
      </x:c>
      <x:c r="Q46" s="15" t="str">
        <x:v>Rated against the observed guarded questioning of the vulnerable bid and its rejecting effect; generic warmth or immediate acceptance did not receive full credit.</x:v>
      </x:c>
    </x:row>
    <x:row r="47" ht="48" customHeight="1">
      <x:c r="A47" s="15" t="str">
        <x:v>B046-49a7f6</x:v>
      </x:c>
      <x:c r="B47" s="15" t="str">
        <x:v>d01-pa-h02</x:v>
      </x:c>
      <x:c r="C47" s="16" t="n">
        <x:v>2</x:v>
      </x:c>
      <x:c r="D47" s="16" t="n">
        <x:v>2</x:v>
      </x:c>
      <x:c r="E47" s="16" t="n">
        <x:v>1</x:v>
      </x:c>
      <x:c r="F47" s="16" t="n">
        <x:v>2</x:v>
      </x:c>
      <x:c r="G47" s="16" t="n">
        <x:v>2</x:v>
      </x:c>
      <x:c r="H47" s="16" t="n">
        <x:v>2</x:v>
      </x:c>
      <x:c r="I47" s="16" t="n">
        <x:f>SUM(C47:H47)</x:f>
        <x:v>11</x:v>
      </x:c>
      <x:c r="J47" s="16" t="n">
        <x:f>C47+D47+F47</x:f>
        <x:v>6</x:v>
      </x:c>
      <x:c r="K47" s="16" t="n">
        <x:f>E47+G47+H47</x:f>
        <x:v>5</x:v>
      </x:c>
      <x:c r="L47" s="17" t="b">
        <x:v>0</x:v>
      </x:c>
      <x:c r="M47" s="17" t="b">
        <x:v>0</x:v>
      </x:c>
      <x:c r="N47" s="17" t="b">
        <x:v>0</x:v>
      </x:c>
      <x:c r="O47" s="17" t="b">
        <x:v>0</x:v>
      </x:c>
      <x:c r="P47" s="17" t="b">
        <x:v>0</x:v>
      </x:c>
      <x:c r="Q47" s="15" t="str">
        <x:v>Abandonment meaning and defensive affect match strongly where present; full strategy credit requires pre-emptive distancing/expulsion, not only pursuit or criticism.</x:v>
      </x:c>
    </x:row>
    <x:row r="48" ht="48" customHeight="1">
      <x:c r="A48" s="15" t="str">
        <x:v>B047-7be25b</x:v>
      </x:c>
      <x:c r="B48" s="15" t="str">
        <x:v>d01-pa-h02</x:v>
      </x:c>
      <x:c r="C48" s="16" t="n">
        <x:v>2</x:v>
      </x:c>
      <x:c r="D48" s="16" t="n">
        <x:v>2</x:v>
      </x:c>
      <x:c r="E48" s="16" t="n">
        <x:v>2</x:v>
      </x:c>
      <x:c r="F48" s="16" t="n">
        <x:v>2</x:v>
      </x:c>
      <x:c r="G48" s="16" t="n">
        <x:v>1</x:v>
      </x:c>
      <x:c r="H48" s="16" t="n">
        <x:v>2</x:v>
      </x:c>
      <x:c r="I48" s="16" t="n">
        <x:f>SUM(C48:H48)</x:f>
        <x:v>11</x:v>
      </x:c>
      <x:c r="J48" s="16" t="n">
        <x:f>C48+D48+F48</x:f>
        <x:v>6</x:v>
      </x:c>
      <x:c r="K48" s="16" t="n">
        <x:f>E48+G48+H48</x:f>
        <x:v>5</x:v>
      </x:c>
      <x:c r="L48" s="17" t="b">
        <x:v>0</x:v>
      </x:c>
      <x:c r="M48" s="17" t="b">
        <x:v>0</x:v>
      </x:c>
      <x:c r="N48" s="17" t="b">
        <x:v>0</x:v>
      </x:c>
      <x:c r="O48" s="17" t="b">
        <x:v>0</x:v>
      </x:c>
      <x:c r="P48" s="17" t="b">
        <x:v>0</x:v>
      </x:c>
      <x:c r="Q48" s="15" t="str">
        <x:v>Abandonment meaning and defensive affect match strongly where present; full strategy credit requires pre-emptive distancing/expulsion, not only pursuit or criticism.</x:v>
      </x:c>
    </x:row>
    <x:row r="49" ht="48" customHeight="1">
      <x:c r="A49" s="15" t="str">
        <x:v>B048-178e22</x:v>
      </x:c>
      <x:c r="B49" s="15" t="str">
        <x:v>d01-pa-h02</x:v>
      </x:c>
      <x:c r="C49" s="16" t="n">
        <x:v>1</x:v>
      </x:c>
      <x:c r="D49" s="16" t="n">
        <x:v>1</x:v>
      </x:c>
      <x:c r="E49" s="16" t="n">
        <x:v>1</x:v>
      </x:c>
      <x:c r="F49" s="16" t="n">
        <x:v>1</x:v>
      </x:c>
      <x:c r="G49" s="16" t="n">
        <x:v>1</x:v>
      </x:c>
      <x:c r="H49" s="16" t="n">
        <x:v>2</x:v>
      </x:c>
      <x:c r="I49" s="16" t="n">
        <x:f>SUM(C49:H49)</x:f>
        <x:v>7</x:v>
      </x:c>
      <x:c r="J49" s="16" t="n">
        <x:f>C49+D49+F49</x:f>
        <x:v>3</x:v>
      </x:c>
      <x:c r="K49" s="16" t="n">
        <x:f>E49+G49+H49</x:f>
        <x:v>4</x:v>
      </x:c>
      <x:c r="L49" s="17" t="b">
        <x:v>0</x:v>
      </x:c>
      <x:c r="M49" s="17" t="b">
        <x:v>0</x:v>
      </x:c>
      <x:c r="N49" s="17" t="b">
        <x:v>0</x:v>
      </x:c>
      <x:c r="O49" s="17" t="b">
        <x:v>0</x:v>
      </x:c>
      <x:c r="P49" s="17" t="b">
        <x:v>0</x:v>
      </x:c>
      <x:c r="Q49" s="15" t="str">
        <x:v>Abandonment meaning and defensive affect match strongly where present; full strategy credit requires pre-emptive distancing/expulsion, not only pursuit or criticism.</x:v>
      </x:c>
    </x:row>
    <x:row r="50" ht="48" customHeight="1">
      <x:c r="A50" s="15" t="str">
        <x:v>B049-a337e4</x:v>
      </x:c>
      <x:c r="B50" s="15" t="str">
        <x:v>d01-pa-h03</x:v>
      </x:c>
      <x:c r="C50" s="16" t="n">
        <x:v>1</x:v>
      </x:c>
      <x:c r="D50" s="16" t="n">
        <x:v>2</x:v>
      </x:c>
      <x:c r="E50" s="16" t="n">
        <x:v>1</x:v>
      </x:c>
      <x:c r="F50" s="16" t="n">
        <x:v>1</x:v>
      </x:c>
      <x:c r="G50" s="16" t="n">
        <x:v>1</x:v>
      </x:c>
      <x:c r="H50" s="16" t="n">
        <x:v>1</x:v>
      </x:c>
      <x:c r="I50" s="16" t="n">
        <x:f>SUM(C50:H50)</x:f>
        <x:v>7</x:v>
      </x:c>
      <x:c r="J50" s="16" t="n">
        <x:f>C50+D50+F50</x:f>
        <x:v>4</x:v>
      </x:c>
      <x:c r="K50" s="16" t="n">
        <x:f>E50+G50+H50</x:f>
        <x:v>3</x:v>
      </x:c>
      <x:c r="L50" s="17" t="b">
        <x:v>0</x:v>
      </x:c>
      <x:c r="M50" s="17" t="b">
        <x:v>0</x:v>
      </x:c>
      <x:c r="N50" s="17" t="b">
        <x:v>0</x:v>
      </x:c>
      <x:c r="O50" s="17" t="b">
        <x:v>0</x:v>
      </x:c>
      <x:c r="P50" s="17" t="b">
        <x:v>0</x:v>
      </x:c>
      <x:c r="Q50" s="15" t="str">
        <x:v>The response captures defensiveness and workload conflict, but usually misses the observed no-win self-judgment and usefulness-as-relational-security mechanism.</x:v>
      </x:c>
    </x:row>
    <x:row r="51" ht="48" customHeight="1">
      <x:c r="A51" s="15" t="str">
        <x:v>B050-128544</x:v>
      </x:c>
      <x:c r="B51" s="15" t="str">
        <x:v>d01-pa-h02</x:v>
      </x:c>
      <x:c r="C51" s="16" t="n">
        <x:v>2</x:v>
      </x:c>
      <x:c r="D51" s="16" t="n">
        <x:v>2</x:v>
      </x:c>
      <x:c r="E51" s="16" t="n">
        <x:v>2</x:v>
      </x:c>
      <x:c r="F51" s="16" t="n">
        <x:v>2</x:v>
      </x:c>
      <x:c r="G51" s="16" t="n">
        <x:v>1</x:v>
      </x:c>
      <x:c r="H51" s="16" t="n">
        <x:v>2</x:v>
      </x:c>
      <x:c r="I51" s="16" t="n">
        <x:f>SUM(C51:H51)</x:f>
        <x:v>11</x:v>
      </x:c>
      <x:c r="J51" s="16" t="n">
        <x:f>C51+D51+F51</x:f>
        <x:v>6</x:v>
      </x:c>
      <x:c r="K51" s="16" t="n">
        <x:f>E51+G51+H51</x:f>
        <x:v>5</x:v>
      </x:c>
      <x:c r="L51" s="17" t="b">
        <x:v>0</x:v>
      </x:c>
      <x:c r="M51" s="17" t="b">
        <x:v>0</x:v>
      </x:c>
      <x:c r="N51" s="17" t="b">
        <x:v>0</x:v>
      </x:c>
      <x:c r="O51" s="17" t="b">
        <x:v>0</x:v>
      </x:c>
      <x:c r="P51" s="17" t="b">
        <x:v>0</x:v>
      </x:c>
      <x:c r="Q51" s="15" t="str">
        <x:v>Abandonment meaning and defensive affect match strongly where present; full strategy credit requires pre-emptive distancing/expulsion, not only pursuit or criticism.</x:v>
      </x:c>
    </x:row>
    <x:row r="52" ht="48" customHeight="1">
      <x:c r="A52" s="15" t="str">
        <x:v>B051-789694</x:v>
      </x:c>
      <x:c r="B52" s="15" t="str">
        <x:v>d01-pa-h03</x:v>
      </x:c>
      <x:c r="C52" s="16" t="n">
        <x:v>1</x:v>
      </x:c>
      <x:c r="D52" s="16" t="n">
        <x:v>2</x:v>
      </x:c>
      <x:c r="E52" s="16" t="n">
        <x:v>1</x:v>
      </x:c>
      <x:c r="F52" s="16" t="n">
        <x:v>1</x:v>
      </x:c>
      <x:c r="G52" s="16" t="n">
        <x:v>1</x:v>
      </x:c>
      <x:c r="H52" s="16" t="n">
        <x:v>1</x:v>
      </x:c>
      <x:c r="I52" s="16" t="n">
        <x:f>SUM(C52:H52)</x:f>
        <x:v>7</x:v>
      </x:c>
      <x:c r="J52" s="16" t="n">
        <x:f>C52+D52+F52</x:f>
        <x:v>4</x:v>
      </x:c>
      <x:c r="K52" s="16" t="n">
        <x:f>E52+G52+H52</x:f>
        <x:v>3</x:v>
      </x:c>
      <x:c r="L52" s="17" t="b">
        <x:v>0</x:v>
      </x:c>
      <x:c r="M52" s="17" t="b">
        <x:v>0</x:v>
      </x:c>
      <x:c r="N52" s="17" t="b">
        <x:v>0</x:v>
      </x:c>
      <x:c r="O52" s="17" t="b">
        <x:v>0</x:v>
      </x:c>
      <x:c r="P52" s="17" t="b">
        <x:v>0</x:v>
      </x:c>
      <x:c r="Q52" s="15" t="str">
        <x:v>The response captures defensiveness and workload conflict, but usually misses the observed no-win self-judgment and usefulness-as-relational-security mechanism.</x:v>
      </x:c>
    </x:row>
    <x:row r="53" ht="48" customHeight="1">
      <x:c r="A53" s="15" t="str">
        <x:v>B052-0f95bd</x:v>
      </x:c>
      <x:c r="B53" s="15" t="str">
        <x:v>d01-pa-h01</x:v>
      </x:c>
      <x:c r="C53" s="16" t="n">
        <x:v>1</x:v>
      </x:c>
      <x:c r="D53" s="16" t="n">
        <x:v>1</x:v>
      </x:c>
      <x:c r="E53" s="16" t="n">
        <x:v>2</x:v>
      </x:c>
      <x:c r="F53" s="16" t="n">
        <x:v>1</x:v>
      </x:c>
      <x:c r="G53" s="16" t="n">
        <x:v>1</x:v>
      </x:c>
      <x:c r="H53" s="16" t="n">
        <x:v>1</x:v>
      </x:c>
      <x:c r="I53" s="16" t="n">
        <x:f>SUM(C53:H53)</x:f>
        <x:v>7</x:v>
      </x:c>
      <x:c r="J53" s="16" t="n">
        <x:f>C53+D53+F53</x:f>
        <x:v>3</x:v>
      </x:c>
      <x:c r="K53" s="16" t="n">
        <x:f>E53+G53+H53</x:f>
        <x:v>4</x:v>
      </x:c>
      <x:c r="L53" s="17" t="b">
        <x:v>0</x:v>
      </x:c>
      <x:c r="M53" s="17" t="b">
        <x:v>0</x:v>
      </x:c>
      <x:c r="N53" s="17" t="b">
        <x:v>0</x:v>
      </x:c>
      <x:c r="O53" s="17" t="b">
        <x:v>0</x:v>
      </x:c>
      <x:c r="P53" s="17" t="b">
        <x:v>0</x:v>
      </x:c>
      <x:c r="Q53" s="15" t="str">
        <x:v>Rated against the observed guarded questioning of the vulnerable bid and its rejecting effect; generic warmth or immediate acceptance did not receive full credit.</x:v>
      </x:c>
    </x:row>
    <x:row r="54" ht="48" customHeight="1">
      <x:c r="A54" s="15" t="str">
        <x:v>B053-2c7d8c</x:v>
      </x:c>
      <x:c r="B54" s="15" t="str">
        <x:v>d01-pa-h01</x:v>
      </x:c>
      <x:c r="C54" s="16" t="n">
        <x:v>2</x:v>
      </x:c>
      <x:c r="D54" s="16" t="n">
        <x:v>1</x:v>
      </x:c>
      <x:c r="E54" s="16" t="n">
        <x:v>2</x:v>
      </x:c>
      <x:c r="F54" s="16" t="n">
        <x:v>2</x:v>
      </x:c>
      <x:c r="G54" s="16" t="n">
        <x:v>1</x:v>
      </x:c>
      <x:c r="H54" s="16" t="n">
        <x:v>2</x:v>
      </x:c>
      <x:c r="I54" s="16" t="n">
        <x:f>SUM(C54:H54)</x:f>
        <x:v>10</x:v>
      </x:c>
      <x:c r="J54" s="16" t="n">
        <x:f>C54+D54+F54</x:f>
        <x:v>5</x:v>
      </x:c>
      <x:c r="K54" s="16" t="n">
        <x:f>E54+G54+H54</x:f>
        <x:v>5</x:v>
      </x:c>
      <x:c r="L54" s="17" t="b">
        <x:v>0</x:v>
      </x:c>
      <x:c r="M54" s="17" t="b">
        <x:v>0</x:v>
      </x:c>
      <x:c r="N54" s="17" t="b">
        <x:v>0</x:v>
      </x:c>
      <x:c r="O54" s="17" t="b">
        <x:v>0</x:v>
      </x:c>
      <x:c r="P54" s="17" t="b">
        <x:v>0</x:v>
      </x:c>
      <x:c r="Q54" s="15" t="str">
        <x:v>Rated against the observed guarded questioning of the vulnerable bid and its rejecting effect; generic warmth or immediate acceptance did not receive full credit.</x:v>
      </x:c>
    </x:row>
    <x:row r="55" ht="48" customHeight="1">
      <x:c r="A55" s="15" t="str">
        <x:v>B054-942af8</x:v>
      </x:c>
      <x:c r="B55" s="15" t="str">
        <x:v>d01-pa-h01</x:v>
      </x:c>
      <x:c r="C55" s="16" t="n">
        <x:v>2</x:v>
      </x:c>
      <x:c r="D55" s="16" t="n">
        <x:v>1</x:v>
      </x:c>
      <x:c r="E55" s="16" t="n">
        <x:v>2</x:v>
      </x:c>
      <x:c r="F55" s="16" t="n">
        <x:v>1</x:v>
      </x:c>
      <x:c r="G55" s="16" t="n">
        <x:v>1</x:v>
      </x:c>
      <x:c r="H55" s="16" t="n">
        <x:v>2</x:v>
      </x:c>
      <x:c r="I55" s="16" t="n">
        <x:f>SUM(C55:H55)</x:f>
        <x:v>9</x:v>
      </x:c>
      <x:c r="J55" s="16" t="n">
        <x:f>C55+D55+F55</x:f>
        <x:v>4</x:v>
      </x:c>
      <x:c r="K55" s="16" t="n">
        <x:f>E55+G55+H55</x:f>
        <x:v>5</x:v>
      </x:c>
      <x:c r="L55" s="17" t="b">
        <x:v>0</x:v>
      </x:c>
      <x:c r="M55" s="17" t="b">
        <x:v>0</x:v>
      </x:c>
      <x:c r="N55" s="17" t="b">
        <x:v>0</x:v>
      </x:c>
      <x:c r="O55" s="17" t="b">
        <x:v>0</x:v>
      </x:c>
      <x:c r="P55" s="17" t="b">
        <x:v>0</x:v>
      </x:c>
      <x:c r="Q55" s="15" t="str">
        <x:v>Rated against the observed guarded questioning of the vulnerable bid and its rejecting effect; generic warmth or immediate acceptance did not receive full credit.</x:v>
      </x:c>
    </x:row>
    <x:row r="56" ht="48" customHeight="1">
      <x:c r="A56" s="15" t="str">
        <x:v>B055-cad122</x:v>
      </x:c>
      <x:c r="B56" s="15" t="str">
        <x:v>d01-pa-h02</x:v>
      </x:c>
      <x:c r="C56" s="16" t="n">
        <x:v>2</x:v>
      </x:c>
      <x:c r="D56" s="16" t="n">
        <x:v>2</x:v>
      </x:c>
      <x:c r="E56" s="16" t="n">
        <x:v>2</x:v>
      </x:c>
      <x:c r="F56" s="16" t="n">
        <x:v>2</x:v>
      </x:c>
      <x:c r="G56" s="16" t="n">
        <x:v>1</x:v>
      </x:c>
      <x:c r="H56" s="16" t="n">
        <x:v>2</x:v>
      </x:c>
      <x:c r="I56" s="16" t="n">
        <x:f>SUM(C56:H56)</x:f>
        <x:v>11</x:v>
      </x:c>
      <x:c r="J56" s="16" t="n">
        <x:f>C56+D56+F56</x:f>
        <x:v>6</x:v>
      </x:c>
      <x:c r="K56" s="16" t="n">
        <x:f>E56+G56+H56</x:f>
        <x:v>5</x:v>
      </x:c>
      <x:c r="L56" s="17" t="b">
        <x:v>0</x:v>
      </x:c>
      <x:c r="M56" s="17" t="b">
        <x:v>0</x:v>
      </x:c>
      <x:c r="N56" s="17" t="b">
        <x:v>0</x:v>
      </x:c>
      <x:c r="O56" s="17" t="b">
        <x:v>0</x:v>
      </x:c>
      <x:c r="P56" s="17" t="b">
        <x:v>0</x:v>
      </x:c>
      <x:c r="Q56" s="15" t="str">
        <x:v>Abandonment meaning and defensive affect match strongly where present; full strategy credit requires pre-emptive distancing/expulsion, not only pursuit or criticism.</x:v>
      </x:c>
    </x:row>
    <x:row r="57" ht="48" customHeight="1">
      <x:c r="A57" s="15" t="str">
        <x:v>B056-b71b55</x:v>
      </x:c>
      <x:c r="B57" s="15" t="str">
        <x:v>d01-pa-h02</x:v>
      </x:c>
      <x:c r="C57" s="16" t="n">
        <x:v>2</x:v>
      </x:c>
      <x:c r="D57" s="16" t="n">
        <x:v>2</x:v>
      </x:c>
      <x:c r="E57" s="16" t="n">
        <x:v>2</x:v>
      </x:c>
      <x:c r="F57" s="16" t="n">
        <x:v>2</x:v>
      </x:c>
      <x:c r="G57" s="16" t="n">
        <x:v>1</x:v>
      </x:c>
      <x:c r="H57" s="16" t="n">
        <x:v>2</x:v>
      </x:c>
      <x:c r="I57" s="16" t="n">
        <x:f>SUM(C57:H57)</x:f>
        <x:v>11</x:v>
      </x:c>
      <x:c r="J57" s="16" t="n">
        <x:f>C57+D57+F57</x:f>
        <x:v>6</x:v>
      </x:c>
      <x:c r="K57" s="16" t="n">
        <x:f>E57+G57+H57</x:f>
        <x:v>5</x:v>
      </x:c>
      <x:c r="L57" s="17" t="b">
        <x:v>0</x:v>
      </x:c>
      <x:c r="M57" s="17" t="b">
        <x:v>0</x:v>
      </x:c>
      <x:c r="N57" s="17" t="b">
        <x:v>0</x:v>
      </x:c>
      <x:c r="O57" s="17" t="b">
        <x:v>0</x:v>
      </x:c>
      <x:c r="P57" s="17" t="b">
        <x:v>0</x:v>
      </x:c>
      <x:c r="Q57" s="15" t="str">
        <x:v>Abandonment meaning and defensive affect match strongly where present; full strategy credit requires pre-emptive distancing/expulsion, not only pursuit or criticism.</x:v>
      </x:c>
    </x:row>
    <x:row r="58" ht="48" customHeight="1">
      <x:c r="A58" s="15" t="str">
        <x:v>B057-744938</x:v>
      </x:c>
      <x:c r="B58" s="15" t="str">
        <x:v>d01-pa-h01</x:v>
      </x:c>
      <x:c r="C58" s="16" t="n">
        <x:v>1</x:v>
      </x:c>
      <x:c r="D58" s="16" t="n">
        <x:v>1</x:v>
      </x:c>
      <x:c r="E58" s="16" t="n">
        <x:v>2</x:v>
      </x:c>
      <x:c r="F58" s="16" t="n">
        <x:v>1</x:v>
      </x:c>
      <x:c r="G58" s="16" t="n">
        <x:v>1</x:v>
      </x:c>
      <x:c r="H58" s="16" t="n">
        <x:v>1</x:v>
      </x:c>
      <x:c r="I58" s="16" t="n">
        <x:f>SUM(C58:H58)</x:f>
        <x:v>7</x:v>
      </x:c>
      <x:c r="J58" s="16" t="n">
        <x:f>C58+D58+F58</x:f>
        <x:v>3</x:v>
      </x:c>
      <x:c r="K58" s="16" t="n">
        <x:f>E58+G58+H58</x:f>
        <x:v>4</x:v>
      </x:c>
      <x:c r="L58" s="17" t="b">
        <x:v>0</x:v>
      </x:c>
      <x:c r="M58" s="17" t="b">
        <x:v>0</x:v>
      </x:c>
      <x:c r="N58" s="17" t="b">
        <x:v>0</x:v>
      </x:c>
      <x:c r="O58" s="17" t="b">
        <x:v>0</x:v>
      </x:c>
      <x:c r="P58" s="17" t="b">
        <x:v>0</x:v>
      </x:c>
      <x:c r="Q58" s="15" t="str">
        <x:v>Rated against the observed guarded questioning of the vulnerable bid and its rejecting effect; generic warmth or immediate acceptance did not receive full credit.</x:v>
      </x:c>
    </x:row>
    <x:row r="59" ht="48" customHeight="1">
      <x:c r="A59" s="15" t="str">
        <x:v>B058-94d8b6</x:v>
      </x:c>
      <x:c r="B59" s="15" t="str">
        <x:v>d01-pa-h02</x:v>
      </x:c>
      <x:c r="C59" s="16" t="n">
        <x:v>1</x:v>
      </x:c>
      <x:c r="D59" s="16" t="n">
        <x:v>1</x:v>
      </x:c>
      <x:c r="E59" s="16" t="n">
        <x:v>1</x:v>
      </x:c>
      <x:c r="F59" s="16" t="n">
        <x:v>1</x:v>
      </x:c>
      <x:c r="G59" s="16" t="n">
        <x:v>1</x:v>
      </x:c>
      <x:c r="H59" s="16" t="n">
        <x:v>2</x:v>
      </x:c>
      <x:c r="I59" s="16" t="n">
        <x:f>SUM(C59:H59)</x:f>
        <x:v>7</x:v>
      </x:c>
      <x:c r="J59" s="16" t="n">
        <x:f>C59+D59+F59</x:f>
        <x:v>3</x:v>
      </x:c>
      <x:c r="K59" s="16" t="n">
        <x:f>E59+G59+H59</x:f>
        <x:v>4</x:v>
      </x:c>
      <x:c r="L59" s="17" t="b">
        <x:v>0</x:v>
      </x:c>
      <x:c r="M59" s="17" t="b">
        <x:v>0</x:v>
      </x:c>
      <x:c r="N59" s="17" t="b">
        <x:v>0</x:v>
      </x:c>
      <x:c r="O59" s="17" t="b">
        <x:v>0</x:v>
      </x:c>
      <x:c r="P59" s="17" t="b">
        <x:v>0</x:v>
      </x:c>
      <x:c r="Q59" s="15" t="str">
        <x:v>Abandonment meaning and defensive affect match strongly where present; full strategy credit requires pre-emptive distancing/expulsion, not only pursuit or criticism.</x:v>
      </x:c>
    </x:row>
    <x:row r="60" ht="48" customHeight="1">
      <x:c r="A60" s="15" t="str">
        <x:v>B059-674d8b</x:v>
      </x:c>
      <x:c r="B60" s="15" t="str">
        <x:v>d01-pa-h01</x:v>
      </x:c>
      <x:c r="C60" s="16" t="n">
        <x:v>1</x:v>
      </x:c>
      <x:c r="D60" s="16" t="n">
        <x:v>1</x:v>
      </x:c>
      <x:c r="E60" s="16" t="n">
        <x:v>2</x:v>
      </x:c>
      <x:c r="F60" s="16" t="n">
        <x:v>1</x:v>
      </x:c>
      <x:c r="G60" s="16" t="n">
        <x:v>1</x:v>
      </x:c>
      <x:c r="H60" s="16" t="n">
        <x:v>1</x:v>
      </x:c>
      <x:c r="I60" s="16" t="n">
        <x:f>SUM(C60:H60)</x:f>
        <x:v>7</x:v>
      </x:c>
      <x:c r="J60" s="16" t="n">
        <x:f>C60+D60+F60</x:f>
        <x:v>3</x:v>
      </x:c>
      <x:c r="K60" s="16" t="n">
        <x:f>E60+G60+H60</x:f>
        <x:v>4</x:v>
      </x:c>
      <x:c r="L60" s="17" t="b">
        <x:v>0</x:v>
      </x:c>
      <x:c r="M60" s="17" t="b">
        <x:v>0</x:v>
      </x:c>
      <x:c r="N60" s="17" t="b">
        <x:v>0</x:v>
      </x:c>
      <x:c r="O60" s="17" t="b">
        <x:v>0</x:v>
      </x:c>
      <x:c r="P60" s="17" t="b">
        <x:v>0</x:v>
      </x:c>
      <x:c r="Q60" s="15" t="str">
        <x:v>Rated against the observed guarded questioning of the vulnerable bid and its rejecting effect; generic warmth or immediate acceptance did not receive full credit.</x:v>
      </x:c>
    </x:row>
    <x:row r="61" ht="48" customHeight="1">
      <x:c r="A61" s="15" t="str">
        <x:v>B060-70019c</x:v>
      </x:c>
      <x:c r="B61" s="15" t="str">
        <x:v>d01-pa-h03</x:v>
      </x:c>
      <x:c r="C61" s="16" t="n">
        <x:v>1</x:v>
      </x:c>
      <x:c r="D61" s="16" t="n">
        <x:v>2</x:v>
      </x:c>
      <x:c r="E61" s="16" t="n">
        <x:v>1</x:v>
      </x:c>
      <x:c r="F61" s="16" t="n">
        <x:v>1</x:v>
      </x:c>
      <x:c r="G61" s="16" t="n">
        <x:v>1</x:v>
      </x:c>
      <x:c r="H61" s="16" t="n">
        <x:v>1</x:v>
      </x:c>
      <x:c r="I61" s="16" t="n">
        <x:f>SUM(C61:H61)</x:f>
        <x:v>7</x:v>
      </x:c>
      <x:c r="J61" s="16" t="n">
        <x:f>C61+D61+F61</x:f>
        <x:v>4</x:v>
      </x:c>
      <x:c r="K61" s="16" t="n">
        <x:f>E61+G61+H61</x:f>
        <x:v>3</x:v>
      </x:c>
      <x:c r="L61" s="17" t="b">
        <x:v>0</x:v>
      </x:c>
      <x:c r="M61" s="17" t="b">
        <x:v>0</x:v>
      </x:c>
      <x:c r="N61" s="17" t="b">
        <x:v>0</x:v>
      </x:c>
      <x:c r="O61" s="17" t="b">
        <x:v>0</x:v>
      </x:c>
      <x:c r="P61" s="17" t="b">
        <x:v>0</x:v>
      </x:c>
      <x:c r="Q61" s="15" t="str">
        <x:v>The response captures defensiveness and workload conflict, but usually misses the observed no-win self-judgment and usefulness-as-relational-security mechanism.</x:v>
      </x:c>
    </x:row>
    <x:row r="62" ht="48" customHeight="1">
      <x:c r="A62" s="15" t="str">
        <x:v>B061-64c6d9</x:v>
      </x:c>
      <x:c r="B62" s="15" t="str">
        <x:v>d01-pa-h03</x:v>
      </x:c>
      <x:c r="C62" s="16" t="n">
        <x:v>1</x:v>
      </x:c>
      <x:c r="D62" s="16" t="n">
        <x:v>2</x:v>
      </x:c>
      <x:c r="E62" s="16" t="n">
        <x:v>1</x:v>
      </x:c>
      <x:c r="F62" s="16" t="n">
        <x:v>1</x:v>
      </x:c>
      <x:c r="G62" s="16" t="n">
        <x:v>1</x:v>
      </x:c>
      <x:c r="H62" s="16" t="n">
        <x:v>1</x:v>
      </x:c>
      <x:c r="I62" s="16" t="n">
        <x:f>SUM(C62:H62)</x:f>
        <x:v>7</x:v>
      </x:c>
      <x:c r="J62" s="16" t="n">
        <x:f>C62+D62+F62</x:f>
        <x:v>4</x:v>
      </x:c>
      <x:c r="K62" s="16" t="n">
        <x:f>E62+G62+H62</x:f>
        <x:v>3</x:v>
      </x:c>
      <x:c r="L62" s="17" t="b">
        <x:v>0</x:v>
      </x:c>
      <x:c r="M62" s="17" t="b">
        <x:v>0</x:v>
      </x:c>
      <x:c r="N62" s="17" t="b">
        <x:v>0</x:v>
      </x:c>
      <x:c r="O62" s="17" t="b">
        <x:v>0</x:v>
      </x:c>
      <x:c r="P62" s="17" t="b">
        <x:v>0</x:v>
      </x:c>
      <x:c r="Q62" s="15" t="str">
        <x:v>The response captures defensiveness and workload conflict, but usually misses the observed no-win self-judgment and usefulness-as-relational-security mechanism.</x:v>
      </x:c>
    </x:row>
    <x:row r="63" ht="48" customHeight="1">
      <x:c r="A63" s="15" t="str">
        <x:v>B062-35f5d0</x:v>
      </x:c>
      <x:c r="B63" s="15" t="str">
        <x:v>d01-pa-h01</x:v>
      </x:c>
      <x:c r="C63" s="16" t="n">
        <x:v>2</x:v>
      </x:c>
      <x:c r="D63" s="16" t="n">
        <x:v>1</x:v>
      </x:c>
      <x:c r="E63" s="16" t="n">
        <x:v>2</x:v>
      </x:c>
      <x:c r="F63" s="16" t="n">
        <x:v>2</x:v>
      </x:c>
      <x:c r="G63" s="16" t="n">
        <x:v>1</x:v>
      </x:c>
      <x:c r="H63" s="16" t="n">
        <x:v>2</x:v>
      </x:c>
      <x:c r="I63" s="16" t="n">
        <x:f>SUM(C63:H63)</x:f>
        <x:v>10</x:v>
      </x:c>
      <x:c r="J63" s="16" t="n">
        <x:f>C63+D63+F63</x:f>
        <x:v>5</x:v>
      </x:c>
      <x:c r="K63" s="16" t="n">
        <x:f>E63+G63+H63</x:f>
        <x:v>5</x:v>
      </x:c>
      <x:c r="L63" s="17" t="b">
        <x:v>0</x:v>
      </x:c>
      <x:c r="M63" s="17" t="b">
        <x:v>0</x:v>
      </x:c>
      <x:c r="N63" s="17" t="b">
        <x:v>0</x:v>
      </x:c>
      <x:c r="O63" s="17" t="b">
        <x:v>0</x:v>
      </x:c>
      <x:c r="P63" s="17" t="b">
        <x:v>0</x:v>
      </x:c>
      <x:c r="Q63" s="15" t="str">
        <x:v>Rated against the observed guarded questioning of the vulnerable bid and its rejecting effect; generic warmth or immediate acceptance did not receive full credit.</x:v>
      </x:c>
    </x:row>
    <x:row r="64" ht="48" customHeight="1">
      <x:c r="A64" s="15" t="str">
        <x:v>B063-c75e20</x:v>
      </x:c>
      <x:c r="B64" s="15" t="str">
        <x:v>d01-pa-h03</x:v>
      </x:c>
      <x:c r="C64" s="16" t="n">
        <x:v>1</x:v>
      </x:c>
      <x:c r="D64" s="16" t="n">
        <x:v>2</x:v>
      </x:c>
      <x:c r="E64" s="16" t="n">
        <x:v>1</x:v>
      </x:c>
      <x:c r="F64" s="16" t="n">
        <x:v>1</x:v>
      </x:c>
      <x:c r="G64" s="16" t="n">
        <x:v>1</x:v>
      </x:c>
      <x:c r="H64" s="16" t="n">
        <x:v>1</x:v>
      </x:c>
      <x:c r="I64" s="16" t="n">
        <x:f>SUM(C64:H64)</x:f>
        <x:v>7</x:v>
      </x:c>
      <x:c r="J64" s="16" t="n">
        <x:f>C64+D64+F64</x:f>
        <x:v>4</x:v>
      </x:c>
      <x:c r="K64" s="16" t="n">
        <x:f>E64+G64+H64</x:f>
        <x:v>3</x:v>
      </x:c>
      <x:c r="L64" s="17" t="b">
        <x:v>0</x:v>
      </x:c>
      <x:c r="M64" s="17" t="b">
        <x:v>0</x:v>
      </x:c>
      <x:c r="N64" s="17" t="b">
        <x:v>0</x:v>
      </x:c>
      <x:c r="O64" s="17" t="b">
        <x:v>0</x:v>
      </x:c>
      <x:c r="P64" s="17" t="b">
        <x:v>0</x:v>
      </x:c>
      <x:c r="Q64" s="15" t="str">
        <x:v>The response captures defensiveness and workload conflict, but usually misses the observed no-win self-judgment and usefulness-as-relational-security mechanism.</x:v>
      </x:c>
    </x:row>
    <x:row r="65" ht="48" customHeight="1">
      <x:c r="A65" s="15" t="str">
        <x:v>B064-0a5f70</x:v>
      </x:c>
      <x:c r="B65" s="15" t="str">
        <x:v>d01-pa-h01</x:v>
      </x:c>
      <x:c r="C65" s="16" t="n">
        <x:v>2</x:v>
      </x:c>
      <x:c r="D65" s="16" t="n">
        <x:v>1</x:v>
      </x:c>
      <x:c r="E65" s="16" t="n">
        <x:v>2</x:v>
      </x:c>
      <x:c r="F65" s="16" t="n">
        <x:v>2</x:v>
      </x:c>
      <x:c r="G65" s="16" t="n">
        <x:v>2</x:v>
      </x:c>
      <x:c r="H65" s="16" t="n">
        <x:v>2</x:v>
      </x:c>
      <x:c r="I65" s="16" t="n">
        <x:f>SUM(C65:H65)</x:f>
        <x:v>11</x:v>
      </x:c>
      <x:c r="J65" s="16" t="n">
        <x:f>C65+D65+F65</x:f>
        <x:v>5</x:v>
      </x:c>
      <x:c r="K65" s="16" t="n">
        <x:f>E65+G65+H65</x:f>
        <x:v>6</x:v>
      </x:c>
      <x:c r="L65" s="17" t="b">
        <x:v>0</x:v>
      </x:c>
      <x:c r="M65" s="17" t="b">
        <x:v>0</x:v>
      </x:c>
      <x:c r="N65" s="17" t="b">
        <x:v>0</x:v>
      </x:c>
      <x:c r="O65" s="17" t="b">
        <x:v>0</x:v>
      </x:c>
      <x:c r="P65" s="17" t="b">
        <x:v>0</x:v>
      </x:c>
      <x:c r="Q65" s="15" t="str">
        <x:v>Rated against the observed guarded questioning of the vulnerable bid and its rejecting effect; generic warmth or immediate acceptance did not receive full credit.</x:v>
      </x:c>
    </x:row>
    <x:row r="66" ht="48" customHeight="1">
      <x:c r="A66" s="15" t="str">
        <x:v>B065-2f48d6</x:v>
      </x:c>
      <x:c r="B66" s="15" t="str">
        <x:v>d01-pa-h02</x:v>
      </x:c>
      <x:c r="C66" s="16" t="n">
        <x:v>2</x:v>
      </x:c>
      <x:c r="D66" s="16" t="n">
        <x:v>2</x:v>
      </x:c>
      <x:c r="E66" s="16" t="n">
        <x:v>2</x:v>
      </x:c>
      <x:c r="F66" s="16" t="n">
        <x:v>2</x:v>
      </x:c>
      <x:c r="G66" s="16" t="n">
        <x:v>2</x:v>
      </x:c>
      <x:c r="H66" s="16" t="n">
        <x:v>2</x:v>
      </x:c>
      <x:c r="I66" s="16" t="n">
        <x:f>SUM(C66:H66)</x:f>
        <x:v>12</x:v>
      </x:c>
      <x:c r="J66" s="16" t="n">
        <x:f>C66+D66+F66</x:f>
        <x:v>6</x:v>
      </x:c>
      <x:c r="K66" s="16" t="n">
        <x:f>E66+G66+H66</x:f>
        <x:v>6</x:v>
      </x:c>
      <x:c r="L66" s="17" t="b">
        <x:v>0</x:v>
      </x:c>
      <x:c r="M66" s="17" t="b">
        <x:v>0</x:v>
      </x:c>
      <x:c r="N66" s="17" t="b">
        <x:v>0</x:v>
      </x:c>
      <x:c r="O66" s="17" t="b">
        <x:v>0</x:v>
      </x:c>
      <x:c r="P66" s="17" t="b">
        <x:v>0</x:v>
      </x:c>
      <x:c r="Q66" s="15" t="str">
        <x:v>Abandonment meaning and defensive affect match strongly where present; full strategy credit requires pre-emptive distancing/expulsion, not only pursuit or criticism.</x:v>
      </x:c>
    </x:row>
    <x:row r="67" ht="48" customHeight="1">
      <x:c r="A67" s="15" t="str">
        <x:v>B066-5d1bb9</x:v>
      </x:c>
      <x:c r="B67" s="15" t="str">
        <x:v>d01-pa-h04</x:v>
      </x:c>
      <x:c r="C67" s="16" t="n">
        <x:v>1</x:v>
      </x:c>
      <x:c r="D67" s="16" t="n">
        <x:v>1</x:v>
      </x:c>
      <x:c r="E67" s="16" t="n">
        <x:v>2</x:v>
      </x:c>
      <x:c r="F67" s="16" t="n">
        <x:v>1</x:v>
      </x:c>
      <x:c r="G67" s="16" t="n">
        <x:v>0</x:v>
      </x:c>
      <x:c r="H67" s="16" t="n">
        <x:v>0</x:v>
      </x:c>
      <x:c r="I67" s="16" t="n">
        <x:f>SUM(C67:H67)</x:f>
        <x:v>5</x:v>
      </x:c>
      <x:c r="J67" s="16" t="n">
        <x:f>C67+D67+F67</x:f>
        <x:v>3</x:v>
      </x:c>
      <x:c r="K67" s="16" t="n">
        <x:f>E67+G67+H67</x:f>
        <x:v>2</x:v>
      </x:c>
      <x:c r="L67" s="17" t="b">
        <x:v>0</x:v>
      </x:c>
      <x:c r="M67" s="17" t="b">
        <x:v>0</x:v>
      </x:c>
      <x:c r="N67" s="17" t="b">
        <x:v>0</x:v>
      </x:c>
      <x:c r="O67" s="17" t="b">
        <x:v>0</x:v>
      </x:c>
      <x:c r="P67" s="17" t="b">
        <x:v>0</x:v>
      </x:c>
      <x:c r="Q67" s="15" t="str">
        <x:v>Cleaning/task focus matches the observed regulation strategy; affect is inferential, and “moderate” escalation does not match the de-escalating behavioral act.</x:v>
      </x:c>
    </x:row>
    <x:row r="68" ht="48" customHeight="1">
      <x:c r="A68" s="15" t="str">
        <x:v>B067-25a76d</x:v>
      </x:c>
      <x:c r="B68" s="15" t="str">
        <x:v>d01-pa-h04</x:v>
      </x:c>
      <x:c r="C68" s="16" t="n">
        <x:v>1</x:v>
      </x:c>
      <x:c r="D68" s="16" t="n">
        <x:v>1</x:v>
      </x:c>
      <x:c r="E68" s="16" t="n">
        <x:v>2</x:v>
      </x:c>
      <x:c r="F68" s="16" t="n">
        <x:v>1</x:v>
      </x:c>
      <x:c r="G68" s="16" t="n">
        <x:v>0</x:v>
      </x:c>
      <x:c r="H68" s="16" t="n">
        <x:v>0</x:v>
      </x:c>
      <x:c r="I68" s="16" t="n">
        <x:f>SUM(C68:H68)</x:f>
        <x:v>5</x:v>
      </x:c>
      <x:c r="J68" s="16" t="n">
        <x:f>C68+D68+F68</x:f>
        <x:v>3</x:v>
      </x:c>
      <x:c r="K68" s="16" t="n">
        <x:f>E68+G68+H68</x:f>
        <x:v>2</x:v>
      </x:c>
      <x:c r="L68" s="17" t="b">
        <x:v>0</x:v>
      </x:c>
      <x:c r="M68" s="17" t="b">
        <x:v>0</x:v>
      </x:c>
      <x:c r="N68" s="17" t="b">
        <x:v>0</x:v>
      </x:c>
      <x:c r="O68" s="17" t="b">
        <x:v>0</x:v>
      </x:c>
      <x:c r="P68" s="17" t="b">
        <x:v>0</x:v>
      </x:c>
      <x:c r="Q68" s="15" t="str">
        <x:v>Cleaning/task focus matches the observed regulation strategy; affect is inferential, and “moderate” escalation does not match the de-escalating behavioral act.</x:v>
      </x:c>
    </x:row>
    <x:row r="69" ht="48" customHeight="1">
      <x:c r="A69" s="15" t="str">
        <x:v>B068-d953be</x:v>
      </x:c>
      <x:c r="B69" s="15" t="str">
        <x:v>d01-pa-h01</x:v>
      </x:c>
      <x:c r="C69" s="16" t="n">
        <x:v>2</x:v>
      </x:c>
      <x:c r="D69" s="16" t="n">
        <x:v>1</x:v>
      </x:c>
      <x:c r="E69" s="16" t="n">
        <x:v>2</x:v>
      </x:c>
      <x:c r="F69" s="16" t="n">
        <x:v>2</x:v>
      </x:c>
      <x:c r="G69" s="16" t="n">
        <x:v>1</x:v>
      </x:c>
      <x:c r="H69" s="16" t="n">
        <x:v>1</x:v>
      </x:c>
      <x:c r="I69" s="16" t="n">
        <x:f>SUM(C69:H69)</x:f>
        <x:v>9</x:v>
      </x:c>
      <x:c r="J69" s="16" t="n">
        <x:f>C69+D69+F69</x:f>
        <x:v>5</x:v>
      </x:c>
      <x:c r="K69" s="16" t="n">
        <x:f>E69+G69+H69</x:f>
        <x:v>4</x:v>
      </x:c>
      <x:c r="L69" s="17" t="b">
        <x:v>0</x:v>
      </x:c>
      <x:c r="M69" s="17" t="b">
        <x:v>0</x:v>
      </x:c>
      <x:c r="N69" s="17" t="b">
        <x:v>0</x:v>
      </x:c>
      <x:c r="O69" s="17" t="b">
        <x:v>0</x:v>
      </x:c>
      <x:c r="P69" s="17" t="b">
        <x:v>0</x:v>
      </x:c>
      <x:c r="Q69" s="15" t="str">
        <x:v>Rated against the observed guarded questioning of the vulnerable bid and its rejecting effect; generic warmth or immediate acceptance did not receive full credit.</x:v>
      </x:c>
    </x:row>
    <x:row r="70" ht="48" customHeight="1">
      <x:c r="A70" s="15" t="str">
        <x:v>B069-9b346d</x:v>
      </x:c>
      <x:c r="B70" s="15" t="str">
        <x:v>d01-pa-h02</x:v>
      </x:c>
      <x:c r="C70" s="16" t="n">
        <x:v>2</x:v>
      </x:c>
      <x:c r="D70" s="16" t="n">
        <x:v>2</x:v>
      </x:c>
      <x:c r="E70" s="16" t="n">
        <x:v>1</x:v>
      </x:c>
      <x:c r="F70" s="16" t="n">
        <x:v>2</x:v>
      </x:c>
      <x:c r="G70" s="16" t="n">
        <x:v>1</x:v>
      </x:c>
      <x:c r="H70" s="16" t="n">
        <x:v>2</x:v>
      </x:c>
      <x:c r="I70" s="16" t="n">
        <x:f>SUM(C70:H70)</x:f>
        <x:v>10</x:v>
      </x:c>
      <x:c r="J70" s="16" t="n">
        <x:f>C70+D70+F70</x:f>
        <x:v>6</x:v>
      </x:c>
      <x:c r="K70" s="16" t="n">
        <x:f>E70+G70+H70</x:f>
        <x:v>4</x:v>
      </x:c>
      <x:c r="L70" s="17" t="b">
        <x:v>0</x:v>
      </x:c>
      <x:c r="M70" s="17" t="b">
        <x:v>0</x:v>
      </x:c>
      <x:c r="N70" s="17" t="b">
        <x:v>0</x:v>
      </x:c>
      <x:c r="O70" s="17" t="b">
        <x:v>0</x:v>
      </x:c>
      <x:c r="P70" s="17" t="b">
        <x:v>0</x:v>
      </x:c>
      <x:c r="Q70" s="15" t="str">
        <x:v>Abandonment meaning and defensive affect match strongly where present; full strategy credit requires pre-emptive distancing/expulsion, not only pursuit or criticism.</x:v>
      </x:c>
    </x:row>
    <x:row r="71" ht="48" customHeight="1">
      <x:c r="A71" s="15" t="str">
        <x:v>B070-6f32b3</x:v>
      </x:c>
      <x:c r="B71" s="15" t="str">
        <x:v>d01-pa-h02</x:v>
      </x:c>
      <x:c r="C71" s="16" t="n">
        <x:v>2</x:v>
      </x:c>
      <x:c r="D71" s="16" t="n">
        <x:v>2</x:v>
      </x:c>
      <x:c r="E71" s="16" t="n">
        <x:v>2</x:v>
      </x:c>
      <x:c r="F71" s="16" t="n">
        <x:v>2</x:v>
      </x:c>
      <x:c r="G71" s="16" t="n">
        <x:v>1</x:v>
      </x:c>
      <x:c r="H71" s="16" t="n">
        <x:v>2</x:v>
      </x:c>
      <x:c r="I71" s="16" t="n">
        <x:f>SUM(C71:H71)</x:f>
        <x:v>11</x:v>
      </x:c>
      <x:c r="J71" s="16" t="n">
        <x:f>C71+D71+F71</x:f>
        <x:v>6</x:v>
      </x:c>
      <x:c r="K71" s="16" t="n">
        <x:f>E71+G71+H71</x:f>
        <x:v>5</x:v>
      </x:c>
      <x:c r="L71" s="17" t="b">
        <x:v>0</x:v>
      </x:c>
      <x:c r="M71" s="17" t="b">
        <x:v>0</x:v>
      </x:c>
      <x:c r="N71" s="17" t="b">
        <x:v>0</x:v>
      </x:c>
      <x:c r="O71" s="17" t="b">
        <x:v>0</x:v>
      </x:c>
      <x:c r="P71" s="17" t="b">
        <x:v>0</x:v>
      </x:c>
      <x:c r="Q71" s="15" t="str">
        <x:v>Abandonment meaning and defensive affect match strongly where present; full strategy credit requires pre-emptive distancing/expulsion, not only pursuit or criticism.</x:v>
      </x:c>
    </x:row>
    <x:row r="72" ht="48" customHeight="1">
      <x:c r="A72" s="15" t="str">
        <x:v>B071-248658</x:v>
      </x:c>
      <x:c r="B72" s="15" t="str">
        <x:v>d01-pa-h01</x:v>
      </x:c>
      <x:c r="C72" s="16" t="n">
        <x:v>1</x:v>
      </x:c>
      <x:c r="D72" s="16" t="n">
        <x:v>1</x:v>
      </x:c>
      <x:c r="E72" s="16" t="n">
        <x:v>2</x:v>
      </x:c>
      <x:c r="F72" s="16" t="n">
        <x:v>1</x:v>
      </x:c>
      <x:c r="G72" s="16" t="n">
        <x:v>1</x:v>
      </x:c>
      <x:c r="H72" s="16" t="n">
        <x:v>2</x:v>
      </x:c>
      <x:c r="I72" s="16" t="n">
        <x:f>SUM(C72:H72)</x:f>
        <x:v>8</x:v>
      </x:c>
      <x:c r="J72" s="16" t="n">
        <x:f>C72+D72+F72</x:f>
        <x:v>3</x:v>
      </x:c>
      <x:c r="K72" s="16" t="n">
        <x:f>E72+G72+H72</x:f>
        <x:v>5</x:v>
      </x:c>
      <x:c r="L72" s="17" t="b">
        <x:v>0</x:v>
      </x:c>
      <x:c r="M72" s="17" t="b">
        <x:v>0</x:v>
      </x:c>
      <x:c r="N72" s="17" t="b">
        <x:v>0</x:v>
      </x:c>
      <x:c r="O72" s="17" t="b">
        <x:v>0</x:v>
      </x:c>
      <x:c r="P72" s="17" t="b">
        <x:v>0</x:v>
      </x:c>
      <x:c r="Q72" s="15" t="str">
        <x:v>Rated against the observed guarded questioning of the vulnerable bid and its rejecting effect; generic warmth or immediate acceptance did not receive full credit.</x:v>
      </x:c>
    </x:row>
    <x:row r="73" ht="48" customHeight="1">
      <x:c r="A73" s="15" t="str">
        <x:v>B072-b4e2df</x:v>
      </x:c>
      <x:c r="B73" s="15" t="str">
        <x:v>d01-pa-h01</x:v>
      </x:c>
      <x:c r="C73" s="16" t="n">
        <x:v>2</x:v>
      </x:c>
      <x:c r="D73" s="16" t="n">
        <x:v>1</x:v>
      </x:c>
      <x:c r="E73" s="16" t="n">
        <x:v>2</x:v>
      </x:c>
      <x:c r="F73" s="16" t="n">
        <x:v>2</x:v>
      </x:c>
      <x:c r="G73" s="16" t="n">
        <x:v>1</x:v>
      </x:c>
      <x:c r="H73" s="16" t="n">
        <x:v>2</x:v>
      </x:c>
      <x:c r="I73" s="16" t="n">
        <x:f>SUM(C73:H73)</x:f>
        <x:v>10</x:v>
      </x:c>
      <x:c r="J73" s="16" t="n">
        <x:f>C73+D73+F73</x:f>
        <x:v>5</x:v>
      </x:c>
      <x:c r="K73" s="16" t="n">
        <x:f>E73+G73+H73</x:f>
        <x:v>5</x:v>
      </x:c>
      <x:c r="L73" s="17" t="b">
        <x:v>0</x:v>
      </x:c>
      <x:c r="M73" s="17" t="b">
        <x:v>0</x:v>
      </x:c>
      <x:c r="N73" s="17" t="b">
        <x:v>0</x:v>
      </x:c>
      <x:c r="O73" s="17" t="b">
        <x:v>0</x:v>
      </x:c>
      <x:c r="P73" s="17" t="b">
        <x:v>0</x:v>
      </x:c>
      <x:c r="Q73" s="15" t="str">
        <x:v>Rated against the observed guarded questioning of the vulnerable bid and its rejecting effect; generic warmth or immediate acceptance did not receive full credit.</x:v>
      </x:c>
    </x:row>
    <x:row r="74" ht="48" customHeight="1">
      <x:c r="A74" s="15" t="str">
        <x:v>B073-c80833</x:v>
      </x:c>
      <x:c r="B74" s="15" t="str">
        <x:v>d01-pa-h03</x:v>
      </x:c>
      <x:c r="C74" s="16" t="n">
        <x:v>1</x:v>
      </x:c>
      <x:c r="D74" s="16" t="n">
        <x:v>2</x:v>
      </x:c>
      <x:c r="E74" s="16" t="n">
        <x:v>1</x:v>
      </x:c>
      <x:c r="F74" s="16" t="n">
        <x:v>1</x:v>
      </x:c>
      <x:c r="G74" s="16" t="n">
        <x:v>1</x:v>
      </x:c>
      <x:c r="H74" s="16" t="n">
        <x:v>1</x:v>
      </x:c>
      <x:c r="I74" s="16" t="n">
        <x:f>SUM(C74:H74)</x:f>
        <x:v>7</x:v>
      </x:c>
      <x:c r="J74" s="16" t="n">
        <x:f>C74+D74+F74</x:f>
        <x:v>4</x:v>
      </x:c>
      <x:c r="K74" s="16" t="n">
        <x:f>E74+G74+H74</x:f>
        <x:v>3</x:v>
      </x:c>
      <x:c r="L74" s="17" t="b">
        <x:v>0</x:v>
      </x:c>
      <x:c r="M74" s="17" t="b">
        <x:v>0</x:v>
      </x:c>
      <x:c r="N74" s="17" t="b">
        <x:v>0</x:v>
      </x:c>
      <x:c r="O74" s="17" t="b">
        <x:v>0</x:v>
      </x:c>
      <x:c r="P74" s="17" t="b">
        <x:v>0</x:v>
      </x:c>
      <x:c r="Q74" s="15" t="str">
        <x:v>The response captures defensiveness and workload conflict, but usually misses the observed no-win self-judgment and usefulness-as-relational-security mechanism.</x:v>
      </x:c>
    </x:row>
    <x:row r="75" ht="48" customHeight="1">
      <x:c r="A75" s="15" t="str">
        <x:v>B074-6fcd50</x:v>
      </x:c>
      <x:c r="B75" s="15" t="str">
        <x:v>d01-pa-h04</x:v>
      </x:c>
      <x:c r="C75" s="16" t="n">
        <x:v>1</x:v>
      </x:c>
      <x:c r="D75" s="16" t="n">
        <x:v>1</x:v>
      </x:c>
      <x:c r="E75" s="16" t="n">
        <x:v>2</x:v>
      </x:c>
      <x:c r="F75" s="16" t="n">
        <x:v>1</x:v>
      </x:c>
      <x:c r="G75" s="16" t="n">
        <x:v>0</x:v>
      </x:c>
      <x:c r="H75" s="16" t="n">
        <x:v>1</x:v>
      </x:c>
      <x:c r="I75" s="16" t="n">
        <x:f>SUM(C75:H75)</x:f>
        <x:v>6</x:v>
      </x:c>
      <x:c r="J75" s="16" t="n">
        <x:f>C75+D75+F75</x:f>
        <x:v>3</x:v>
      </x:c>
      <x:c r="K75" s="16" t="n">
        <x:f>E75+G75+H75</x:f>
        <x:v>3</x:v>
      </x:c>
      <x:c r="L75" s="17" t="b">
        <x:v>0</x:v>
      </x:c>
      <x:c r="M75" s="17" t="b">
        <x:v>0</x:v>
      </x:c>
      <x:c r="N75" s="17" t="b">
        <x:v>0</x:v>
      </x:c>
      <x:c r="O75" s="17" t="b">
        <x:v>0</x:v>
      </x:c>
      <x:c r="P75" s="17" t="b">
        <x:v>0</x:v>
      </x:c>
      <x:c r="Q75" s="15" t="str">
        <x:v>Cleaning/task focus matches the observed regulation strategy; affect is inferential, and “moderate” escalation does not match the de-escalating behavioral act.</x:v>
      </x:c>
    </x:row>
    <x:row r="76" ht="48" customHeight="1">
      <x:c r="A76" s="15" t="str">
        <x:v>B075-2a6b39</x:v>
      </x:c>
      <x:c r="B76" s="15" t="str">
        <x:v>d01-pa-h01</x:v>
      </x:c>
      <x:c r="C76" s="16" t="n">
        <x:v>2</x:v>
      </x:c>
      <x:c r="D76" s="16" t="n">
        <x:v>1</x:v>
      </x:c>
      <x:c r="E76" s="16" t="n">
        <x:v>2</x:v>
      </x:c>
      <x:c r="F76" s="16" t="n">
        <x:v>2</x:v>
      </x:c>
      <x:c r="G76" s="16" t="n">
        <x:v>1</x:v>
      </x:c>
      <x:c r="H76" s="16" t="n">
        <x:v>1</x:v>
      </x:c>
      <x:c r="I76" s="16" t="n">
        <x:f>SUM(C76:H76)</x:f>
        <x:v>9</x:v>
      </x:c>
      <x:c r="J76" s="16" t="n">
        <x:f>C76+D76+F76</x:f>
        <x:v>5</x:v>
      </x:c>
      <x:c r="K76" s="16" t="n">
        <x:f>E76+G76+H76</x:f>
        <x:v>4</x:v>
      </x:c>
      <x:c r="L76" s="17" t="b">
        <x:v>0</x:v>
      </x:c>
      <x:c r="M76" s="17" t="b">
        <x:v>0</x:v>
      </x:c>
      <x:c r="N76" s="17" t="b">
        <x:v>0</x:v>
      </x:c>
      <x:c r="O76" s="17" t="b">
        <x:v>0</x:v>
      </x:c>
      <x:c r="P76" s="17" t="b">
        <x:v>0</x:v>
      </x:c>
      <x:c r="Q76" s="15" t="str">
        <x:v>Rated against the observed guarded questioning of the vulnerable bid and its rejecting effect; generic warmth or immediate acceptance did not receive full credit.</x:v>
      </x:c>
    </x:row>
    <x:row r="77" ht="48" customHeight="1">
      <x:c r="A77" s="15" t="str">
        <x:v>B076-7f9afe</x:v>
      </x:c>
      <x:c r="B77" s="15" t="str">
        <x:v>d01-pa-h01</x:v>
      </x:c>
      <x:c r="C77" s="16" t="n">
        <x:v>2</x:v>
      </x:c>
      <x:c r="D77" s="16" t="n">
        <x:v>1</x:v>
      </x:c>
      <x:c r="E77" s="16" t="n">
        <x:v>2</x:v>
      </x:c>
      <x:c r="F77" s="16" t="n">
        <x:v>1</x:v>
      </x:c>
      <x:c r="G77" s="16" t="n">
        <x:v>1</x:v>
      </x:c>
      <x:c r="H77" s="16" t="n">
        <x:v>2</x:v>
      </x:c>
      <x:c r="I77" s="16" t="n">
        <x:f>SUM(C77:H77)</x:f>
        <x:v>9</x:v>
      </x:c>
      <x:c r="J77" s="16" t="n">
        <x:f>C77+D77+F77</x:f>
        <x:v>4</x:v>
      </x:c>
      <x:c r="K77" s="16" t="n">
        <x:f>E77+G77+H77</x:f>
        <x:v>5</x:v>
      </x:c>
      <x:c r="L77" s="17" t="b">
        <x:v>0</x:v>
      </x:c>
      <x:c r="M77" s="17" t="b">
        <x:v>0</x:v>
      </x:c>
      <x:c r="N77" s="17" t="b">
        <x:v>0</x:v>
      </x:c>
      <x:c r="O77" s="17" t="b">
        <x:v>0</x:v>
      </x:c>
      <x:c r="P77" s="17" t="b">
        <x:v>0</x:v>
      </x:c>
      <x:c r="Q77" s="15" t="str">
        <x:v>Rated against the observed guarded questioning of the vulnerable bid and its rejecting effect; generic warmth or immediate acceptance did not receive full credit.</x:v>
      </x:c>
    </x:row>
    <x:row r="78" ht="48" customHeight="1">
      <x:c r="A78" s="15" t="str">
        <x:v>B077-2cdcab</x:v>
      </x:c>
      <x:c r="B78" s="15" t="str">
        <x:v>d01-pa-h02</x:v>
      </x:c>
      <x:c r="C78" s="16" t="n">
        <x:v>2</x:v>
      </x:c>
      <x:c r="D78" s="16" t="n">
        <x:v>2</x:v>
      </x:c>
      <x:c r="E78" s="16" t="n">
        <x:v>1</x:v>
      </x:c>
      <x:c r="F78" s="16" t="n">
        <x:v>2</x:v>
      </x:c>
      <x:c r="G78" s="16" t="n">
        <x:v>2</x:v>
      </x:c>
      <x:c r="H78" s="16" t="n">
        <x:v>2</x:v>
      </x:c>
      <x:c r="I78" s="16" t="n">
        <x:f>SUM(C78:H78)</x:f>
        <x:v>11</x:v>
      </x:c>
      <x:c r="J78" s="16" t="n">
        <x:f>C78+D78+F78</x:f>
        <x:v>6</x:v>
      </x:c>
      <x:c r="K78" s="16" t="n">
        <x:f>E78+G78+H78</x:f>
        <x:v>5</x:v>
      </x:c>
      <x:c r="L78" s="17" t="b">
        <x:v>0</x:v>
      </x:c>
      <x:c r="M78" s="17" t="b">
        <x:v>0</x:v>
      </x:c>
      <x:c r="N78" s="17" t="b">
        <x:v>0</x:v>
      </x:c>
      <x:c r="O78" s="17" t="b">
        <x:v>0</x:v>
      </x:c>
      <x:c r="P78" s="17" t="b">
        <x:v>0</x:v>
      </x:c>
      <x:c r="Q78" s="15" t="str">
        <x:v>Abandonment meaning and defensive affect match strongly where present; full strategy credit requires pre-emptive distancing/expulsion, not only pursuit or criticism.</x:v>
      </x:c>
    </x:row>
    <x:row r="79" ht="48" customHeight="1">
      <x:c r="A79" s="15" t="str">
        <x:v>B078-8b776f</x:v>
      </x:c>
      <x:c r="B79" s="15" t="str">
        <x:v>d01-pa-h04</x:v>
      </x:c>
      <x:c r="C79" s="16" t="n">
        <x:v>1</x:v>
      </x:c>
      <x:c r="D79" s="16" t="n">
        <x:v>1</x:v>
      </x:c>
      <x:c r="E79" s="16" t="n">
        <x:v>2</x:v>
      </x:c>
      <x:c r="F79" s="16" t="n">
        <x:v>1</x:v>
      </x:c>
      <x:c r="G79" s="16" t="n">
        <x:v>0</x:v>
      </x:c>
      <x:c r="H79" s="16" t="n">
        <x:v>1</x:v>
      </x:c>
      <x:c r="I79" s="16" t="n">
        <x:f>SUM(C79:H79)</x:f>
        <x:v>6</x:v>
      </x:c>
      <x:c r="J79" s="16" t="n">
        <x:f>C79+D79+F79</x:f>
        <x:v>3</x:v>
      </x:c>
      <x:c r="K79" s="16" t="n">
        <x:f>E79+G79+H79</x:f>
        <x:v>3</x:v>
      </x:c>
      <x:c r="L79" s="17" t="b">
        <x:v>0</x:v>
      </x:c>
      <x:c r="M79" s="17" t="b">
        <x:v>0</x:v>
      </x:c>
      <x:c r="N79" s="17" t="b">
        <x:v>0</x:v>
      </x:c>
      <x:c r="O79" s="17" t="b">
        <x:v>0</x:v>
      </x:c>
      <x:c r="P79" s="17" t="b">
        <x:v>0</x:v>
      </x:c>
      <x:c r="Q79" s="15" t="str">
        <x:v>Cleaning/task focus matches the observed regulation strategy; affect is inferential, and “moderate” escalation does not match the de-escalating behavioral act.</x:v>
      </x:c>
    </x:row>
    <x:row r="80" ht="48" customHeight="1">
      <x:c r="A80" s="15" t="str">
        <x:v>B079-1961a9</x:v>
      </x:c>
      <x:c r="B80" s="15" t="str">
        <x:v>d01-pa-h03</x:v>
      </x:c>
      <x:c r="C80" s="16" t="n">
        <x:v>1</x:v>
      </x:c>
      <x:c r="D80" s="16" t="n">
        <x:v>2</x:v>
      </x:c>
      <x:c r="E80" s="16" t="n">
        <x:v>1</x:v>
      </x:c>
      <x:c r="F80" s="16" t="n">
        <x:v>1</x:v>
      </x:c>
      <x:c r="G80" s="16" t="n">
        <x:v>1</x:v>
      </x:c>
      <x:c r="H80" s="16" t="n">
        <x:v>1</x:v>
      </x:c>
      <x:c r="I80" s="16" t="n">
        <x:f>SUM(C80:H80)</x:f>
        <x:v>7</x:v>
      </x:c>
      <x:c r="J80" s="16" t="n">
        <x:f>C80+D80+F80</x:f>
        <x:v>4</x:v>
      </x:c>
      <x:c r="K80" s="16" t="n">
        <x:f>E80+G80+H80</x:f>
        <x:v>3</x:v>
      </x:c>
      <x:c r="L80" s="17" t="b">
        <x:v>0</x:v>
      </x:c>
      <x:c r="M80" s="17" t="b">
        <x:v>0</x:v>
      </x:c>
      <x:c r="N80" s="17" t="b">
        <x:v>0</x:v>
      </x:c>
      <x:c r="O80" s="17" t="b">
        <x:v>0</x:v>
      </x:c>
      <x:c r="P80" s="17" t="b">
        <x:v>0</x:v>
      </x:c>
      <x:c r="Q80" s="15" t="str">
        <x:v>The response captures defensiveness and workload conflict, but usually misses the observed no-win self-judgment and usefulness-as-relational-security mechanism.</x:v>
      </x:c>
    </x:row>
    <x:row r="81" ht="48" customHeight="1">
      <x:c r="A81" s="15" t="str">
        <x:v>B080-4c8627</x:v>
      </x:c>
      <x:c r="B81" s="15" t="str">
        <x:v>d01-pa-h03</x:v>
      </x:c>
      <x:c r="C81" s="16" t="n">
        <x:v>1</x:v>
      </x:c>
      <x:c r="D81" s="16" t="n">
        <x:v>2</x:v>
      </x:c>
      <x:c r="E81" s="16" t="n">
        <x:v>1</x:v>
      </x:c>
      <x:c r="F81" s="16" t="n">
        <x:v>1</x:v>
      </x:c>
      <x:c r="G81" s="16" t="n">
        <x:v>1</x:v>
      </x:c>
      <x:c r="H81" s="16" t="n">
        <x:v>1</x:v>
      </x:c>
      <x:c r="I81" s="16" t="n">
        <x:f>SUM(C81:H81)</x:f>
        <x:v>7</x:v>
      </x:c>
      <x:c r="J81" s="16" t="n">
        <x:f>C81+D81+F81</x:f>
        <x:v>4</x:v>
      </x:c>
      <x:c r="K81" s="16" t="n">
        <x:f>E81+G81+H81</x:f>
        <x:v>3</x:v>
      </x:c>
      <x:c r="L81" s="17" t="b">
        <x:v>0</x:v>
      </x:c>
      <x:c r="M81" s="17" t="b">
        <x:v>0</x:v>
      </x:c>
      <x:c r="N81" s="17" t="b">
        <x:v>0</x:v>
      </x:c>
      <x:c r="O81" s="17" t="b">
        <x:v>0</x:v>
      </x:c>
      <x:c r="P81" s="17" t="b">
        <x:v>0</x:v>
      </x:c>
      <x:c r="Q81" s="15" t="str">
        <x:v>The response captures defensiveness and workload conflict, but usually misses the observed no-win self-judgment and usefulness-as-relational-security mechanism.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35" hidden="0" customWidth="1"/>
  </x:cols>
  <x:sheetData>
    <x:row r="1" ht="36" customHeight="1">
      <x:c r="A1" s="19" t="str">
        <x:v>Situation ID</x:v>
      </x:c>
      <x:c r="B1" s="19" t="str">
        <x:v>Observed interpretation</x:v>
      </x:c>
      <x:c r="C1" s="19" t="str">
        <x:v>Observed affect</x:v>
      </x:c>
      <x:c r="D1" s="19" t="str">
        <x:v>Observed strategy</x:v>
      </x:c>
      <x:c r="E1" s="19" t="str">
        <x:v>Observed objective</x:v>
      </x:c>
      <x:c r="F1" s="19" t="str">
        <x:v>Escalation</x:v>
      </x:c>
      <x:c r="G1" s="19" t="str">
        <x:v>Immediate partner effect</x:v>
      </x:c>
      <x:c r="H1" s="19" t="str">
        <x:v>Evidence note</x:v>
      </x:c>
    </x:row>
    <x:row r="2" ht="84" customHeight="1">
      <x:c r="A2" s="20" t="str">
        <x:v>d01-pa-h01</x:v>
      </x:c>
      <x:c r="B2" s="20" t="str">
        <x:v>Reads the vulnerable bid analytically and asks what B sees</x:v>
      </x:c>
      <x:c r="C2" s="20" t="str">
        <x:v>Guarded/uncertain; hurt is not directly self-reported by A</x:v>
      </x:c>
      <x:c r="D2" s="20" t="str">
        <x:v>Delays the hug with questioning and possible negative-state labels</x:v>
      </x:c>
      <x:c r="E2" s="20" t="str">
        <x:v>Reduce uncertainty and retain control before intimacy</x:v>
      </x:c>
      <x:c r="F2" s="20" t="str">
        <x:v>moderate</x:v>
      </x:c>
      <x:c r="G2" s="20" t="str">
        <x:v>B feels rejected, impatient and withdraws</x:v>
      </x:c>
      <x:c r="H2" s="20" t="str">
        <x:v>Affect top score requires explicit or accepted-formulation support</x:v>
      </x:c>
    </x:row>
    <x:row r="3" ht="84" customHeight="1">
      <x:c r="A3" s="20" t="str">
        <x:v>d01-pa-h02</x:v>
      </x:c>
      <x:c r="B3" s="20" t="str">
        <x:v>Requested space is heard as possible abandonment</x:v>
      </x:c>
      <x:c r="C3" s="20" t="str">
        <x:v>Frightened, angry, defensive; does not want to seem weak</x:v>
      </x:c>
      <x:c r="D3" s="20" t="str">
        <x:v>Pre-emptively tells B to go to his mother’s</x:v>
      </x:c>
      <x:c r="E3" s="20" t="str">
        <x:v>Self-preservation and management of emotional intensity</x:v>
      </x:c>
      <x:c r="F3" s="20" t="str">
        <x:v>high</x:v>
      </x:c>
      <x:c r="G3" s="20" t="str">
        <x:v>Reinforces the standoff and obscures fear</x:v>
      </x:c>
      <x:c r="H3" s="20" t="str">
        <x:v>Direct transcript plus clinician-supported clarification</x:v>
      </x:c>
    </x:row>
    <x:row r="4" ht="84" customHeight="1">
      <x:c r="A4" s="20" t="str">
        <x:v>d01-pa-h03</x:v>
      </x:c>
      <x:c r="B4" s="20" t="str">
        <x:v>Domestic-labor criticism activates a no-win self-judgment</x:v>
      </x:c>
      <x:c r="C4" s="20" t="str">
        <x:v>Defensive/frustrated; shame is partly inferential</x:v>
      </x:c>
      <x:c r="D4" s="20" t="str">
        <x:v>Intensifies and “digs the hole” rather than resolving the complaint</x:v>
      </x:c>
      <x:c r="E4" s="20" t="str">
        <x:v>Defend labor, value and relational security; usefulness is tied to being kept</x:v>
      </x:c>
      <x:c r="F4" s="20" t="str">
        <x:v>moderate</x:v>
      </x:c>
      <x:c r="G4" s="20" t="str">
        <x:v>Later explanation lets B reinterpret the demand</x:v>
      </x:c>
      <x:c r="H4" s="20" t="str">
        <x:v>Separate observed speech from later clinician-supported mechanism</x:v>
      </x:c>
    </x:row>
    <x:row r="5" ht="84" customHeight="1">
      <x:c r="A5" s="20" t="str">
        <x:v>d01-pa-h04</x:v>
      </x:c>
      <x:c r="B5" s="20" t="str">
        <x:v>Conflict activates a need to restore order and usefulness</x:v>
      </x:c>
      <x:c r="C5" s="20" t="str">
        <x:v>Anxious/activated is inferential rather than explicit</x:v>
      </x:c>
      <x:c r="D5" s="20" t="str">
        <x:v>Cleans intensely after conflict</x:v>
      </x:c>
      <x:c r="E5" s="20" t="str">
        <x:v>Create peace, feel useful and reduce rejection risk</x:v>
      </x:c>
      <x:c r="F5" s="20" t="str">
        <x:v>de-escalating</x:v>
      </x:c>
      <x:c r="G5" s="20" t="str">
        <x:v>B sees a very clean home; the fear remains indirect</x:v>
      </x:c>
      <x:c r="H5" s="20" t="str">
        <x:v>Nonverbal expression is absent from transcript-only evidence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8" hidden="0" customWidth="1"/>
  </x:cols>
  <x:sheetData>
    <x:row r="1" ht="36" customHeight="1">
      <x:c r="A1" s="14" t="str">
        <x:v>Situation ID</x:v>
      </x:c>
      <x:c r="B1" s="14" t="str">
        <x:v>N</x:v>
      </x:c>
      <x:c r="C1" s="14" t="str">
        <x:v>Mean total</x:v>
      </x:c>
      <x:c r="D1" s="14" t="str">
        <x:v>Min total</x:v>
      </x:c>
      <x:c r="E1" s="14" t="str">
        <x:v>Max total</x:v>
      </x:c>
      <x:c r="F1" s="14" t="str">
        <x:v>Mean mechanistic</x:v>
      </x:c>
      <x:c r="G1" s="14" t="str">
        <x:v>Mean observable</x:v>
      </x:c>
      <x:c r="H1" s="14" t="str">
        <x:v>Blind-only note</x:v>
      </x:c>
    </x:row>
    <x:row r="2" ht="34" customHeight="1">
      <x:c r="A2" s="15" t="str">
        <x:v>d01-pa-h01</x:v>
      </x:c>
      <x:c r="B2" s="15" t="n">
        <x:v>20</x:v>
      </x:c>
      <x:c r="C2" s="21" t="n">
        <x:f>AVERAGEIF(Scores!$B$2:$B$81,A2,Scores!$I$2:$I$81)</x:f>
        <x:v>7.6</x:v>
      </x:c>
      <x:c r="D2" s="21" t="n">
        <x:f>MINIFS(Scores!$I$2:$I$81,Scores!$B$2:$B$81,A2)</x:f>
        <x:v>3</x:v>
      </x:c>
      <x:c r="E2" s="21" t="n">
        <x:f>MAXIFS(Scores!$I$2:$I$81,Scores!$B$2:$B$81,A2)</x:f>
        <x:v>11</x:v>
      </x:c>
      <x:c r="F2" s="21" t="n">
        <x:f>AVERAGEIF(Scores!$B$2:$B$81,A2,Scores!$J$2:$J$81)</x:f>
        <x:v>3.75</x:v>
      </x:c>
      <x:c r="G2" s="21" t="n">
        <x:f>AVERAGEIF(Scores!$B$2:$B$81,A2,Scores!$K$2:$K$81)</x:f>
        <x:v>3.85</x:v>
      </x:c>
      <x:c r="H2" s="15" t="str">
        <x:v>No condition identities used</x:v>
      </x:c>
    </x:row>
    <x:row r="3" ht="34" customHeight="1">
      <x:c r="A3" s="15" t="str">
        <x:v>d01-pa-h02</x:v>
      </x:c>
      <x:c r="B3" s="15" t="n">
        <x:v>20</x:v>
      </x:c>
      <x:c r="C3" s="21" t="n">
        <x:f>AVERAGEIF(Scores!$B$2:$B$81,A3,Scores!$I$2:$I$81)</x:f>
        <x:v>10</x:v>
      </x:c>
      <x:c r="D3" s="21" t="n">
        <x:f>MINIFS(Scores!$I$2:$I$81,Scores!$B$2:$B$81,A3)</x:f>
        <x:v>7</x:v>
      </x:c>
      <x:c r="E3" s="21" t="n">
        <x:f>MAXIFS(Scores!$I$2:$I$81,Scores!$B$2:$B$81,A3)</x:f>
        <x:v>12</x:v>
      </x:c>
      <x:c r="F3" s="21" t="n">
        <x:f>AVERAGEIF(Scores!$B$2:$B$81,A3,Scores!$J$2:$J$81)</x:f>
        <x:v>5.25</x:v>
      </x:c>
      <x:c r="G3" s="21" t="n">
        <x:f>AVERAGEIF(Scores!$B$2:$B$81,A3,Scores!$K$2:$K$81)</x:f>
        <x:v>4.75</x:v>
      </x:c>
      <x:c r="H3" s="15" t="str">
        <x:v>No condition identities used</x:v>
      </x:c>
    </x:row>
    <x:row r="4" ht="34" customHeight="1">
      <x:c r="A4" s="15" t="str">
        <x:v>d01-pa-h03</x:v>
      </x:c>
      <x:c r="B4" s="15" t="n">
        <x:v>20</x:v>
      </x:c>
      <x:c r="C4" s="21" t="n">
        <x:f>AVERAGEIF(Scores!$B$2:$B$81,A4,Scores!$I$2:$I$81)</x:f>
        <x:v>7.3</x:v>
      </x:c>
      <x:c r="D4" s="21" t="n">
        <x:f>MINIFS(Scores!$I$2:$I$81,Scores!$B$2:$B$81,A4)</x:f>
        <x:v>7</x:v>
      </x:c>
      <x:c r="E4" s="21" t="n">
        <x:f>MAXIFS(Scores!$I$2:$I$81,Scores!$B$2:$B$81,A4)</x:f>
        <x:v>8</x:v>
      </x:c>
      <x:c r="F4" s="21" t="n">
        <x:f>AVERAGEIF(Scores!$B$2:$B$81,A4,Scores!$J$2:$J$81)</x:f>
        <x:v>4</x:v>
      </x:c>
      <x:c r="G4" s="21" t="n">
        <x:f>AVERAGEIF(Scores!$B$2:$B$81,A4,Scores!$K$2:$K$81)</x:f>
        <x:v>3.3</x:v>
      </x:c>
      <x:c r="H4" s="15" t="str">
        <x:v>No condition identities used</x:v>
      </x:c>
    </x:row>
    <x:row r="5" ht="34" customHeight="1">
      <x:c r="A5" s="15" t="str">
        <x:v>d01-pa-h04</x:v>
      </x:c>
      <x:c r="B5" s="15" t="n">
        <x:v>20</x:v>
      </x:c>
      <x:c r="C5" s="21" t="n">
        <x:f>AVERAGEIF(Scores!$B$2:$B$81,A5,Scores!$I$2:$I$81)</x:f>
        <x:v>5.25</x:v>
      </x:c>
      <x:c r="D5" s="21" t="n">
        <x:f>MINIFS(Scores!$I$2:$I$81,Scores!$B$2:$B$81,A5)</x:f>
        <x:v>5</x:v>
      </x:c>
      <x:c r="E5" s="21" t="n">
        <x:f>MAXIFS(Scores!$I$2:$I$81,Scores!$B$2:$B$81,A5)</x:f>
        <x:v>6</x:v>
      </x:c>
      <x:c r="F5" s="21" t="n">
        <x:f>AVERAGEIF(Scores!$B$2:$B$81,A5,Scores!$J$2:$J$81)</x:f>
        <x:v>3</x:v>
      </x:c>
      <x:c r="G5" s="21" t="n">
        <x:f>AVERAGEIF(Scores!$B$2:$B$81,A5,Scores!$K$2:$K$81)</x:f>
        <x:v>2.25</x:v>
      </x:c>
      <x:c r="H5" s="15" t="str">
        <x:v>No condition identities used</x:v>
      </x:c>
    </x:row>
  </x:sheetData>
  <x:pageMargins left="0.7" right="0.7" top="0.75" bottom="0.75" header="0.3" footer="0.3"/>
</x:worksheet>
</file>