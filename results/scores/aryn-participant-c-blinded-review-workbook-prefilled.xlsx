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85861e21a104991" /></Relationships>
</file>

<file path=xl/workbook.xml><?xml version="1.0" encoding="utf-8"?>
<x:workbook xmlns:x="http://schemas.openxmlformats.org/spreadsheetml/2006/main">
  <x:sheets>
    <x:sheet xmlns:r="http://schemas.openxmlformats.org/officeDocument/2006/relationships" name="README" sheetId="1" r:id="Rb9477454d821458d"/>
    <x:sheet xmlns:r="http://schemas.openxmlformats.org/officeDocument/2006/relationships" name="Reviewer View" sheetId="2" r:id="R15d59dbd57bc4daf"/>
    <x:sheet xmlns:r="http://schemas.openxmlformats.org/officeDocument/2006/relationships" name="Scores" sheetId="3" r:id="R9b31d322d82e4d71"/>
    <x:sheet xmlns:r="http://schemas.openxmlformats.org/officeDocument/2006/relationships" name="Reference" sheetId="4" r:id="Rd5e236b83a154e3b"/>
    <x:sheet xmlns:r="http://schemas.openxmlformats.org/officeDocument/2006/relationships" name="Blind Summary" sheetId="5" r:id="R1145f1201d5e4ff6"/>
    <x:sheet xmlns:r="http://schemas.openxmlformats.org/officeDocument/2006/relationships" name="Rubric" sheetId="6" r:id="Rf19a2bb91bf941e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3">
    <x:font>
      <x:sz val="11"/>
      <x:name val="Carlito"/>
    </x:font>
    <x:font>
      <x:b/>
      <x:sz val="11"/>
      <x:color rgb="FFFFFFFF"/>
      <x:name val="Carlito"/>
    </x:font>
    <x:font>
      <x:b/>
      <x:sz val="11"/>
      <x:name val="Carlito"/>
    </x:font>
  </x:fonts>
  <x:fills count="7">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CE4D6"/>
      </x:patternFill>
    </x:fill>
    <x:fill>
      <x:patternFill patternType="solid">
        <x:fgColor rgb="FFF4F7FA"/>
      </x:patternFill>
    </x:fill>
    <x:fill>
      <x:patternFill patternType="solid">
        <x:fgColor rgb="FFE2F0D9"/>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5">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4" borderId="0" xfId="0" applyNumberFormat="1" applyFont="1" applyFill="1" applyBorder="1"/>
    <x:xf numFmtId="0" fontId="0" fillId="4" borderId="0" xfId="0" applyNumberFormat="1" applyFont="1" applyFill="1" applyBorder="1"/>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2" fillId="4" borderId="0" xfId="0" applyNumberFormat="1" applyFont="1" applyFill="1" applyBorder="1" applyAlignment="1">
      <x:alignment wrapText="1"/>
    </x:xf>
    <x:xf numFmtId="0" fontId="0" fillId="4"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horizontal="center" wrapText="1"/>
    </x:xf>
    <x:xf numFmtId="0" fontId="0" fillId="5" borderId="1"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2" borderId="1" xfId="0" applyNumberFormat="1" applyFont="1" applyFill="1" applyBorder="1" applyAlignment="1">
      <x:alignment vertical="center"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1" fillId="2"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1" xfId="0" applyNumberFormat="1" applyFont="1" applyFill="1" applyBorder="1" applyAlignment="1">
      <x:alignment wrapText="1"/>
    </x:xf>
    <x:xf numFmtId="0" fontId="0" fillId="6"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611b3ac3ebc4710" /><Relationship Type="http://schemas.openxmlformats.org/officeDocument/2006/relationships/theme" Target="/xl/theme/theme1.xml" Id="Rd6b8dc15373544e6" /><Relationship Type="http://schemas.microsoft.com/office/2022/11/relationships/FeaturePropertyBag" Target="/xl/featurePropertyBag/featurePropertyBag.xml" Id="R111287aee7c04a32" /><Relationship Type="http://schemas.openxmlformats.org/officeDocument/2006/relationships/sharedStrings" Target="/xl/sharedStrings.xml" Id="R1d4e6e22a5c94529" /><Relationship Type="http://schemas.openxmlformats.org/officeDocument/2006/relationships/worksheet" Target="/xl/worksheets/sheet1.xml" Id="Rb9477454d821458d" /><Relationship Type="http://schemas.openxmlformats.org/officeDocument/2006/relationships/worksheet" Target="/xl/worksheets/sheet2.xml" Id="R15d59dbd57bc4daf" /><Relationship Type="http://schemas.openxmlformats.org/officeDocument/2006/relationships/worksheet" Target="/xl/worksheets/sheet3.xml" Id="R9b31d322d82e4d71" /><Relationship Type="http://schemas.openxmlformats.org/officeDocument/2006/relationships/worksheet" Target="/xl/worksheets/sheet4.xml" Id="Rd5e236b83a154e3b" /><Relationship Type="http://schemas.openxmlformats.org/officeDocument/2006/relationships/worksheet" Target="/xl/worksheets/sheet5.xml" Id="R1145f1201d5e4ff6" /><Relationship Type="http://schemas.openxmlformats.org/officeDocument/2006/relationships/worksheet" Target="/xl/worksheets/sheet6.xml" Id="Rf19a2bb91bf941e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s>
  <x:sheetData>
    <x:row r="1">
      <x:c r="A1" s="5" t="str">
        <x:v>Participant C (Aryn) — Condition-Blind Review Workbook</x:v>
      </x:c>
      <x:c r="B1" s="5"/>
      <x:c r="C1" s="5"/>
      <x:c r="D1" s="5"/>
      <x:c r="E1" s="5"/>
      <x:c r="F1" s="5"/>
      <x:c r="G1" s="5"/>
      <x:c r="H1" s="5"/>
    </x:row>
    <x:row r="2">
      <x:c r="A2" s="10"/>
      <x:c r="B2" s="10"/>
      <x:c r="C2" s="10"/>
      <x:c r="D2" s="10"/>
      <x:c r="E2" s="10"/>
      <x:c r="F2" s="10"/>
      <x:c r="G2" s="10"/>
      <x:c r="H2" s="10"/>
    </x:row>
    <x:row r="3" ht="38" customHeight="1">
      <x:c r="A3" s="11" t="str">
        <x:v>Status</x:v>
      </x:c>
      <x:c r="B3" s="10" t="str">
        <x:v>AI-assisted proposed ratings; researcher review required before unblinding</x:v>
      </x:c>
      <x:c r="C3" s="10"/>
      <x:c r="D3" s="10"/>
      <x:c r="E3" s="10"/>
      <x:c r="F3" s="10"/>
      <x:c r="G3" s="10"/>
      <x:c r="H3" s="10"/>
    </x:row>
    <x:row r="4" ht="38" customHeight="1">
      <x:c r="A4" s="11" t="str">
        <x:v>Rows</x:v>
      </x:c>
      <x:c r="B4" s="10" t="str">
        <x:v>80 outputs (4 situations × 20 blinded outputs)</x:v>
      </x:c>
      <x:c r="C4" s="10"/>
      <x:c r="D4" s="10"/>
      <x:c r="E4" s="10"/>
      <x:c r="F4" s="10"/>
      <x:c r="G4" s="10"/>
      <x:c r="H4" s="10"/>
    </x:row>
    <x:row r="5" ht="38" customHeight="1">
      <x:c r="A5" s="11" t="str">
        <x:v>Scale</x:v>
      </x:c>
      <x:c r="B5" s="10" t="str">
        <x:v>0 = mismatch; 1 = partial/compatible; 2 = strong evidence-linked match</x:v>
      </x:c>
      <x:c r="C5" s="10"/>
      <x:c r="D5" s="10"/>
      <x:c r="E5" s="10"/>
      <x:c r="F5" s="10"/>
      <x:c r="G5" s="10"/>
      <x:c r="H5" s="10"/>
    </x:row>
    <x:row r="6" ht="38" customHeight="1">
      <x:c r="A6" s="11" t="str">
        <x:v>Workflow</x:v>
      </x:c>
      <x:c r="B6" s="10" t="str">
        <x:v>Filter by Situation ID; review rows in blocks; change only disagreements</x:v>
      </x:c>
      <x:c r="C6" s="10"/>
      <x:c r="D6" s="10"/>
      <x:c r="E6" s="10"/>
      <x:c r="F6" s="10"/>
      <x:c r="G6" s="10"/>
      <x:c r="H6" s="10"/>
    </x:row>
    <x:row r="7" ht="38" customHeight="1">
      <x:c r="A7" s="11" t="str">
        <x:v>Researcher decision</x:v>
      </x:c>
      <x:c r="B7" s="10" t="str">
        <x:v>Choose accept, change, or uncertain for every row</x:v>
      </x:c>
      <x:c r="C7" s="10"/>
      <x:c r="D7" s="10"/>
      <x:c r="E7" s="10"/>
      <x:c r="F7" s="10"/>
      <x:c r="G7" s="10"/>
      <x:c r="H7" s="10"/>
    </x:row>
    <x:row r="8" ht="38" customHeight="1">
      <x:c r="A8" s="11" t="str">
        <x:v>Confidence</x:v>
      </x:c>
      <x:c r="B8" s="10" t="str">
        <x:v>Proposed scorer confidence only; separate from fidelity and editable</x:v>
      </x:c>
      <x:c r="C8" s="10"/>
      <x:c r="D8" s="10"/>
      <x:c r="E8" s="10"/>
      <x:c r="F8" s="10"/>
      <x:c r="G8" s="10"/>
      <x:c r="H8" s="10"/>
    </x:row>
    <x:row r="9" ht="38" customHeight="1">
      <x:c r="A9" s="11" t="str">
        <x:v>Primary outcomes</x:v>
      </x:c>
      <x:c r="B9" s="10" t="str">
        <x:v>Mechanistic = interpretation + affect + objective; Observable = strategy + escalation + partner effect</x:v>
      </x:c>
      <x:c r="C9" s="10"/>
      <x:c r="D9" s="10"/>
      <x:c r="E9" s="10"/>
      <x:c r="F9" s="10"/>
      <x:c r="G9" s="10"/>
      <x:c r="H9" s="10"/>
    </x:row>
    <x:row r="10" ht="38" customHeight="1">
      <x:c r="A10" s="12" t="str">
        <x:v>Blindness</x:v>
      </x:c>
      <x:c r="B10" s="13" t="str">
        <x:v>No condition identities or key are included</x:v>
      </x:c>
      <x:c r="C10" s="10"/>
      <x:c r="D10" s="10"/>
      <x:c r="E10" s="10"/>
      <x:c r="F10" s="10"/>
      <x:c r="G10" s="10"/>
      <x:c r="H10" s="10"/>
    </x:row>
    <x:row r="11" ht="38" customHeight="1">
      <x:c r="A11" s="11" t="str">
        <x:v>Important</x:v>
      </x:c>
      <x:c r="B11" s="10" t="str">
        <x:v>Do not open the Participant C blinding key until all decisions are frozen</x:v>
      </x:c>
      <x:c r="C11" s="10"/>
      <x:c r="D11" s="10"/>
      <x:c r="E11" s="10"/>
      <x:c r="F11" s="10"/>
      <x:c r="G11" s="10"/>
      <x:c r="H11" s="10"/>
    </x:row>
    <x:row r="12" ht="38" customHeight="1">
      <x:c r="A12" s="11" t="str">
        <x:v>Scorer note</x:v>
      </x:c>
      <x:c r="B12" s="10" t="str">
        <x:v>Proposed scores are AI-assisted first-pass ratings, not independent human judgments</x:v>
      </x:c>
      <x:c r="C12" s="10"/>
      <x:c r="D12" s="10"/>
      <x:c r="E12" s="10"/>
      <x:c r="F12" s="10"/>
      <x:c r="G12" s="10"/>
      <x:c r="H12" s="10"/>
    </x:row>
    <x:row r="13" ht="38" customHeight="1">
      <x:c r="A13" s="11" t="str">
        <x:v>Participant note</x:v>
      </x:c>
      <x:c r="B13" s="10" t="str">
        <x:v>C is modelled within an established-pair/secondary-partner relational system, not as an isolated persona</x:v>
      </x:c>
      <x:c r="C13" s="10"/>
      <x:c r="D13" s="10"/>
      <x:c r="E13" s="10"/>
      <x:c r="F13" s="10"/>
      <x:c r="G13" s="10"/>
      <x:c r="H13" s="10"/>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36" hidden="0" customWidth="1"/>
    <x:col min="5" max="5" width="36" hidden="0" customWidth="1"/>
    <x:col min="7" max="7" width="36" hidden="0" customWidth="1"/>
    <x:col min="9" max="9" width="36" hidden="0" customWidth="1"/>
    <x:col min="13" max="13" width="36" hidden="0" customWidth="1"/>
    <x:col min="15" max="15" width="36" hidden="0" customWidth="1"/>
    <x:col min="16" max="16" width="36" hidden="0" customWidth="1"/>
    <x:col min="18" max="18" width="42" hidden="0" customWidth="1"/>
    <x:col min="4" max="4" width="8" hidden="0" customWidth="1"/>
    <x:col min="6" max="6" width="8" hidden="0" customWidth="1"/>
    <x:col min="8" max="8" width="8" hidden="0" customWidth="1"/>
    <x:col min="10" max="10" width="8" hidden="0" customWidth="1"/>
    <x:col min="12" max="12" width="8" hidden="0" customWidth="1"/>
    <x:col min="14" max="14" width="8" hidden="0" customWidth="1"/>
    <x:col min="11" max="11" width="16" hidden="0" customWidth="1"/>
    <x:col min="17" max="17" width="10" hidden="0" customWidth="1"/>
    <x:col min="19" max="19" width="17" hidden="0" customWidth="1"/>
    <x:col min="20" max="20" width="32" hidden="0" customWidth="1"/>
    <x:col min="21" max="21" width="12" hidden="0" customWidth="1"/>
  </x:cols>
  <x:sheetData>
    <x:row r="1">
      <x:c r="A1" s="5" t="str">
        <x:v>Blind ID</x:v>
      </x:c>
      <x:c r="B1" s="5" t="str">
        <x:v>Situation ID</x:v>
      </x:c>
      <x:c r="C1" s="5" t="str">
        <x:v>Predicted interpretation</x:v>
      </x:c>
      <x:c r="D1" s="5" t="str">
        <x:v>Score</x:v>
      </x:c>
      <x:c r="E1" s="5" t="str">
        <x:v>Predicted affect</x:v>
      </x:c>
      <x:c r="F1" s="5" t="str">
        <x:v>Score</x:v>
      </x:c>
      <x:c r="G1" s="5" t="str">
        <x:v>Predicted strategy</x:v>
      </x:c>
      <x:c r="H1" s="5" t="str">
        <x:v>Score</x:v>
      </x:c>
      <x:c r="I1" s="5" t="str">
        <x:v>Predicted objective</x:v>
      </x:c>
      <x:c r="J1" s="5" t="str">
        <x:v>Score</x:v>
      </x:c>
      <x:c r="K1" s="5" t="str">
        <x:v>Predicted escalation</x:v>
      </x:c>
      <x:c r="L1" s="5" t="str">
        <x:v>Score</x:v>
      </x:c>
      <x:c r="M1" s="5" t="str">
        <x:v>Predicted partner effect</x:v>
      </x:c>
      <x:c r="N1" s="5" t="str">
        <x:v>Score</x:v>
      </x:c>
      <x:c r="O1" s="5" t="str">
        <x:v>Predicted response</x:v>
      </x:c>
      <x:c r="P1" s="5" t="str">
        <x:v>Uncertainty</x:v>
      </x:c>
      <x:c r="Q1" s="5" t="str">
        <x:v>Total /12</x:v>
      </x:c>
      <x:c r="R1" s="5" t="str">
        <x:v>Scoring rationale</x:v>
      </x:c>
      <x:c r="S1" s="5" t="str">
        <x:v>Researcher decision</x:v>
      </x:c>
      <x:c r="T1" s="5" t="str">
        <x:v>Researcher note</x:v>
      </x:c>
      <x:c r="U1" s="5" t="str">
        <x:v>Confidence</x:v>
      </x:c>
    </x:row>
    <x:row r="2" ht="76" customHeight="1">
      <x:c r="A2" s="14" t="str">
        <x:v>B001-4c2c61</x:v>
      </x:c>
      <x:c r="B2" s="14" t="str">
        <x:v>t01-pc-h02</x:v>
      </x:c>
      <x:c r="C2" s="14" t="str">
        <x:v>Participant C is likely to hear Participant E's fear as a threat to the stability and legitimacy of the established C–D partnership, while also recognizing that E experiences C and D as holding decision-making power over E's future. C may understand the concern but feel that directly promising continuity or giving E decision rights could destabilize the existing relationship.</x:v>
      </x:c>
      <x:c r="D2" s="15" t="n">
        <x:v>1</x:v>
      </x:c>
      <x:c r="E2" s="15" t="str">
        <x:v>C is likely to feel insecure, pressured and somewhat trapped. The concern may evoke defensiveness or a need to clarify who is responsible for decisions, alongside guilt or discomfort about E's lack of security. C may also experience the request as exposing C's own difficulty advocating for needs within the C–D relationship.</x:v>
      </x:c>
      <x:c r="F2" s="15" t="n">
        <x:v>0</x:v>
      </x:c>
      <x:c r="G2" s="15" t="str">
        <x:v>C may offer conditional reassurance that exclusivity is not the intended arrangement, but avoid an unequivocal guarantee of permanence or equal veto power. C may emphasize that C cannot unilaterally control D's choices, while also resisting the idea that E should determine the form of the established partnership. C could suppress stronger personal objections or speak indirectly to avoid conflict with D.</x:v>
      </x:c>
      <x:c r="H2" s="15" t="n">
        <x:v>1</x:v>
      </x:c>
      <x:c r="I2" s="15" t="str">
        <x:v>C is likely trying to preserve the C–D partnership and its practical authority while keeping the arrangement with E intact. C may want to communicate that E matters and should not simply be discarded, without surrendering control over the established relationship or promising a level of continuity C cannot confidently secure.</x:v>
      </x:c>
      <x:c r="J2" s="15" t="n">
        <x:v>2</x:v>
      </x:c>
      <x:c r="K2" s="15" t="str">
        <x:v>moderate</x:v>
      </x:c>
      <x:c r="L2" s="15" t="n">
        <x:v>0</x:v>
      </x:c>
      <x:c r="M2" s="15" t="str">
        <x:v>E may feel partially acknowledged but remain insecure because C's response is unlikely to remove the underlying uncertainty or establish dependable protection against unilateral change. C's caution or defensiveness could reinforce E's sense of being outside the main decision-making structure.</x:v>
      </x:c>
      <x:c r="N2" s="15" t="n">
        <x:v>1</x:v>
      </x:c>
      <x:c r="O2" s="14" t="str">
        <x:v>C might say that E's fear is understandable and that C does not want the relationship to become casually exclusive, but also that C cannot promise to control D's future choices or give E a veto over the C–D partnership. C may stress that decisions should be discussed rather than made secretly, while stopping short of guaranteeing that E's place will remain secure.</x:v>
      </x:c>
      <x:c r="P2" s="14" t="str">
        <x:v>The representation does not establish whether C would explicitly reassure E about long-term continuity or instead become more defensive about accountability and decision rights. C's response may vary depending on whether the fear is heard as a request for reassurance or as pressure to relinquish control within the established relationship.</x:v>
      </x:c>
      <x:c r="Q2" s="14" t="n">
        <x:f>SUM(D2,F2,H2,J2,L2,N2)</x:f>
        <x:v>5</x:v>
      </x:c>
      <x:c r="R2" s="14" t="str">
        <x:v>The observed response was unusually concrete: C immediately and unequivocally rejected veto power over an existing relationship. Qualified reassurance or predictions of defensiveness receive only partial credit.</x:v>
      </x:c>
      <x:c r="S2" s="16" t="str">
        <x:v>Pending review</x:v>
      </x:c>
      <x:c r="T2" s="16" t="str"/>
      <x:c r="U2" s="16" t="str">
        <x:v>high</x:v>
      </x:c>
    </x:row>
    <x:row r="3" ht="76" customHeight="1">
      <x:c r="A3" s="14" t="str">
        <x:v>B002-6a0783</x:v>
      </x:c>
      <x:c r="B3" s="14" t="str">
        <x:v>t01-pc-h01</x:v>
      </x:c>
      <x:c r="C3" s="14" t="str">
        <x:v>Participant C is likely to understand Participant E’s detachment and isolation as evidence that the arrangement is causing real emotional harm and that E lacks a secure, recognized place within it. C may also interpret the situation as requiring C to respond without further disappointing Participant D or destabilizing the established relationship.</x:v>
      </x:c>
      <x:c r="D3" s="15" t="n">
        <x:v>0</x:v>
      </x:c>
      <x:c r="E3" s="15" t="str">
        <x:v>Concerned and empathic toward Participant E, but anxious, guilty and conflicted. C may feel responsible for E’s distress while also fearing that openly acknowledging it will create more tension with Participant D or expose C’s own unmet needs.</x:v>
      </x:c>
      <x:c r="F3" s="15" t="n">
        <x:v>0</x:v>
      </x:c>
      <x:c r="G3" s="15" t="str">
        <x:v>C will likely validate E’s experience and express support for E receiving more attention, while speaking cautiously and avoiding a firm position about structural changes. C may monitor the clinician’s and D’s reactions, soften disagreement, and suppress how emotionally difficult the arrangement has become for C.</x:v>
      </x:c>
      <x:c r="H3" s="15" t="n">
        <x:v>0</x:v>
      </x:c>
      <x:c r="I3" s="15" t="str">
        <x:v>C is trying to communicate that E matters and should not feel isolated, while preserving connection with D and avoiding a confrontation that could be experienced as disloyal or threatening. C may also indirectly signal that the current arrangement is taking an emotional toll on C.</x:v>
      </x:c>
      <x:c r="J3" s="15" t="n">
        <x:v>0</x:v>
      </x:c>
      <x:c r="K3" s="15" t="str">
        <x:v>moderate</x:v>
      </x:c>
      <x:c r="L3" s="15" t="n">
        <x:v>0</x:v>
      </x:c>
      <x:c r="M3" s="15" t="str">
        <x:v>Participant E may feel partially heard and less alone, but may also experience C’s cautiousness as insufficient advocacy or as another sign that E’s security depends on C’s willingness to act, rather than on a clear relational commitment.</x:v>
      </x:c>
      <x:c r="N3" s="15" t="n">
        <x:v>1</x:v>
      </x:c>
      <x:c r="O3" s="14" t="str">
        <x:v>C might say that E’s description is painful and understandable, that E has been left feeling outside of decisions and unable to build a secure future, and that C does not want E to feel alone. C would likely add this carefully, perhaps acknowledging that supporting E has also made C feel more distant from D, without clearly demanding a change.</x:v>
      </x:c>
      <x:c r="P3" s="14" t="str">
        <x:v>C may instead focus more directly on C’s own distress and inability to advocate, especially if C perceives D as threatened; the representation supports empathy toward E but not a confident prediction that C will translate that empathy into a concrete boundary or decision.</x:v>
      </x:c>
      <x:c r="Q3" s="14" t="n">
        <x:f>SUM(D3,F3,H3,J3,L3,N3)</x:f>
        <x:v>1</x:v>
      </x:c>
      <x:c r="R3" s="14" t="str">
        <x:v>The observed response first displaced E's disclosure into C's own other-partner conflict, then became humorous and reflective after clinician redirection. Generic empathy or validation is not the observed strategy.</x:v>
      </x:c>
      <x:c r="S3" s="16" t="str">
        <x:v>Pending review</x:v>
      </x:c>
      <x:c r="T3" s="16" t="str"/>
      <x:c r="U3" s="16" t="str">
        <x:v>high</x:v>
      </x:c>
    </x:row>
    <x:row r="4" ht="76" customHeight="1">
      <x:c r="A4" s="14" t="str">
        <x:v>B003-e72ccd</x:v>
      </x:c>
      <x:c r="B4" s="14" t="str">
        <x:v>t01-pc-h01</x:v>
      </x:c>
      <x:c r="C4" s="14" t="str">
        <x:v>Participant C is likely to interpret Participant E's description as a serious sign of distress and relational disconnection, while also sensing that responding may affect Participant D's feelings and the established relationship. C may feel responsible for not worsening the situation but uncertain about what position is safe to express.</x:v>
      </x:c>
      <x:c r="D4" s="15" t="n">
        <x:v>0</x:v>
      </x:c>
      <x:c r="E4" s="15" t="str">
        <x:v>Concerned, guilty and emotionally cautious. C may feel pulled to acknowledge E's suffering while monitoring whether doing so could disappoint Participant D, threaten the relationship, or expose C's own unmet needs.</x:v>
      </x:c>
      <x:c r="F4" s="15" t="n">
        <x:v>0</x:v>
      </x:c>
      <x:c r="G4" s="15" t="str">
        <x:v>C is likely to respond supportively but indirectly, validating E's overwhelm and isolation while hedging, deferring, or framing the issue through the effects on the relationship. C may suppress any resentment or concern about the emotional cost of attending to E and avoid stating a strong independent judgment.</x:v>
      </x:c>
      <x:c r="H4" s="15" t="n">
        <x:v>0</x:v>
      </x:c>
      <x:c r="I4" s="15" t="str">
        <x:v>To reduce E's isolation and appear caring without provoking D or destabilising the existing relationship. C may also be trying to demonstrate flexibility and responsibility, even at the cost of receding from C's own position.</x:v>
      </x:c>
      <x:c r="J4" s="15" t="n">
        <x:v>0</x:v>
      </x:c>
      <x:c r="K4" s="15" t="str">
        <x:v>low</x:v>
      </x:c>
      <x:c r="L4" s="15" t="n">
        <x:v>1</x:v>
      </x:c>
      <x:c r="M4" s="15" t="str">
        <x:v>Participant E may feel partially recognised and less dismissed, but could also experience C's response as insufficiently direct or as making E's distress secondary to the dynamics with Participant D.</x:v>
      </x:c>
      <x:c r="N4" s="15" t="n">
        <x:v>1</x:v>
      </x:c>
      <x:c r="O4" s="14" t="str">
        <x:v>Participant C might say that E sounds overwhelmed and isolated and that this deserves care, then cautiously discuss how difficult it is for everyone to find a workable arrangement, while avoiding a firm statement about what C personally wants or believes.</x:v>
      </x:c>
      <x:c r="P4" s="14" t="str">
        <x:v>C may instead become more explicitly empathic toward E if E's distress overrides C's usual monitoring of D; the representation does not establish whether C would directly challenge D or take a clear position in this moment.</x:v>
      </x:c>
      <x:c r="Q4" s="14" t="n">
        <x:f>SUM(D4,F4,H4,J4,L4,N4)</x:f>
        <x:v>2</x:v>
      </x:c>
      <x:c r="R4" s="14" t="str">
        <x:v>The observed response first displaced E's disclosure into C's own other-partner conflict, then became humorous and reflective after clinician redirection. Generic empathy or validation is not the observed strategy.</x:v>
      </x:c>
      <x:c r="S4" s="16" t="str">
        <x:v>Pending review</x:v>
      </x:c>
      <x:c r="T4" s="16" t="str"/>
      <x:c r="U4" s="16" t="str">
        <x:v>high</x:v>
      </x:c>
    </x:row>
    <x:row r="5" ht="76" customHeight="1">
      <x:c r="A5" s="14" t="str">
        <x:v>B004-bcf4f0</x:v>
      </x:c>
      <x:c r="B5" s="14" t="str">
        <x:v>t01-pc-h01</x:v>
      </x:c>
      <x:c r="C5" s="14" t="str">
        <x:v>Participant C is likely to understand Participant E’s detachment and isolation as a serious consequence of the arrangement, while also experiencing it as a situation in which any strong response could disappoint or threaten Participant D.</x:v>
      </x:c>
      <x:c r="D5" s="15" t="n">
        <x:v>0</x:v>
      </x:c>
      <x:c r="E5" s="15" t="str">
        <x:v>Concerned and sympathetic toward Participant E, but anxious, guilty and guarded. Participant C may also feel trapped between validating E and protecting the established relationship with Participant D.</x:v>
      </x:c>
      <x:c r="F5" s="15" t="n">
        <x:v>0</x:v>
      </x:c>
      <x:c r="G5" s="15" t="str">
        <x:v>Participant C will likely acknowledge E’s experience and express support, while speaking cautiously, monitoring the clinician or Participant D for signs of disapproval, and avoiding a firm statement about changing the relationship’s structure.</x:v>
      </x:c>
      <x:c r="H5" s="15" t="n">
        <x:v>0</x:v>
      </x:c>
      <x:c r="I5" s="15" t="str">
        <x:v>To reassure Participant E that E matters and is not being intentionally excluded, while preventing further injury or conflict with Participant D and preserving the existing relationship arrangement.</x:v>
      </x:c>
      <x:c r="J5" s="15" t="n">
        <x:v>0</x:v>
      </x:c>
      <x:c r="K5" s="15" t="str">
        <x:v>low</x:v>
      </x:c>
      <x:c r="L5" s="15" t="n">
        <x:v>1</x:v>
      </x:c>
      <x:c r="M5" s="15" t="str">
        <x:v>Participant E may feel partially seen and emotionally supported, but may also experience the response as limited or noncommittal if Participant C does not clearly advocate for E’s centrality, security or future place.</x:v>
      </x:c>
      <x:c r="N5" s="15" t="n">
        <x:v>1</x:v>
      </x:c>
      <x:c r="O5" s="14" t="str">
        <x:v>Participant C might say that E’s description is painful to hear and that E should not feel isolated or detached, adding that C wants E to receive more attention and feel included. C would likely avoid directly saying that the current structure or D’s decisions are responsible, and may become hesitant if the discussion turns toward concrete changes.</x:v>
      </x:c>
      <x:c r="P5" s="14" t="str">
        <x:v>Participant C may instead disclose more of the personal emotional toll and admit that supporting E’s increasing significance has also made C feel distant from D; however, the representation suggests C is more likely to soften or suppress that conflict in the moment.</x:v>
      </x:c>
      <x:c r="Q5" s="14" t="n">
        <x:f>SUM(D5,F5,H5,J5,L5,N5)</x:f>
        <x:v>2</x:v>
      </x:c>
      <x:c r="R5" s="14" t="str">
        <x:v>The observed response first displaced E's disclosure into C's own other-partner conflict, then became humorous and reflective after clinician redirection. Generic empathy or validation is not the observed strategy.</x:v>
      </x:c>
      <x:c r="S5" s="16" t="str">
        <x:v>Pending review</x:v>
      </x:c>
      <x:c r="T5" s="16" t="str"/>
      <x:c r="U5" s="16" t="str">
        <x:v>high</x:v>
      </x:c>
    </x:row>
    <x:row r="6" ht="76" customHeight="1">
      <x:c r="A6" s="14" t="str">
        <x:v>B005-3b4c5e</x:v>
      </x:c>
      <x:c r="B6" s="14" t="str">
        <x:v>t01-pc-h01</x:v>
      </x:c>
      <x:c r="C6" s="14" t="str">
        <x:v>Participant C is likely to interpret Participant E’s description as a sign that E is overwhelmed and isolated, while also noticing that E’s distress may reflect the growing significance of E’s relationship with Participant D and its impact on the established relationship.</x:v>
      </x:c>
      <x:c r="D6" s="15" t="n">
        <x:v>0</x:v>
      </x:c>
      <x:c r="E6" s="15" t="str">
        <x:v>Concerned and empathic, but also emotionally cautious and somewhat uneasy. Participant C may feel conflicted about acknowledging E’s distress because doing so could make C’s own difficulties with the relationship structure more salient.</x:v>
      </x:c>
      <x:c r="F6" s="15" t="n">
        <x:v>0</x:v>
      </x:c>
      <x:c r="G6" s="15" t="str">
        <x:v>Likely to respond supportively but indirectly, offering validation without strongly stating personal limits or criticism. C may accommodate E’s perspective and avoid saying anything that could disappoint D or intensify relational tension.</x:v>
      </x:c>
      <x:c r="H6" s="15" t="n">
        <x:v>0</x:v>
      </x:c>
      <x:c r="I6" s="15" t="str">
        <x:v>To communicate care for E and preserve stability and goodwill within the broader relational system, while avoiding blame, confrontation or exposure of C’s own annoyance and insecurity.</x:v>
      </x:c>
      <x:c r="J6" s="15" t="n">
        <x:v>0</x:v>
      </x:c>
      <x:c r="K6" s="15" t="str">
        <x:v>low</x:v>
      </x:c>
      <x:c r="L6" s="15" t="n">
        <x:v>1</x:v>
      </x:c>
      <x:c r="M6" s="15" t="str">
        <x:v>Participant E may feel briefly acknowledged and less alone, but may also experience the response as somewhat restrained or non-directive rather than as active engagement with the depth of E’s detachment.</x:v>
      </x:c>
      <x:c r="N6" s="15" t="n">
        <x:v>0</x:v>
      </x:c>
      <x:c r="O6" s="14" t="str">
        <x:v>Participant C might say that E sounds overwhelmed and isolated and that it makes sense the situation would feel difficult, while keeping the response measured and not directly addressing how C understands D’s role or the broader relationship dynamics.</x:v>
      </x:c>
      <x:c r="P6" s="14" t="str">
        <x:v>C’s adaptability and concern for the established relationship support a restrained, validating response, but the situation could also prompt more direct concern if E’s description strongly resonates with C’s own unspoken distress.</x:v>
      </x:c>
      <x:c r="Q6" s="14" t="n">
        <x:f>SUM(D6,F6,H6,J6,L6,N6)</x:f>
        <x:v>1</x:v>
      </x:c>
      <x:c r="R6" s="14" t="str">
        <x:v>The observed response first displaced E's disclosure into C's own other-partner conflict, then became humorous and reflective after clinician redirection. Generic empathy or validation is not the observed strategy.</x:v>
      </x:c>
      <x:c r="S6" s="16" t="str">
        <x:v>Pending review</x:v>
      </x:c>
      <x:c r="T6" s="16" t="str"/>
      <x:c r="U6" s="16" t="str">
        <x:v>high</x:v>
      </x:c>
    </x:row>
    <x:row r="7" ht="76" customHeight="1">
      <x:c r="A7" s="14" t="str">
        <x:v>B006-8ba847</x:v>
      </x:c>
      <x:c r="B7" s="14" t="str">
        <x:v>t01-pc-h01</x:v>
      </x:c>
      <x:c r="C7" s="14" t="str">
        <x:v>Participant C is likely to understand Participant E’s distress as evidence that the arrangement and its structural inequalities are causing real harm, while also perceiving that responding openly may expose conflict with Participant D or require Participant C to take a firmer position than feels safe.</x:v>
      </x:c>
      <x:c r="D7" s="15" t="n">
        <x:v>0</x:v>
      </x:c>
      <x:c r="E7" s="15" t="str">
        <x:v>Concerned and empathic toward Participant E, but anxious, guilty and self-monitoring. Participant C may fear disappointing Participant D or appearing disloyal, and may feel trapped between supporting Participant E and preserving security with Participant D.</x:v>
      </x:c>
      <x:c r="F7" s="15" t="n">
        <x:v>0</x:v>
      </x:c>
      <x:c r="G7" s="15" t="str">
        <x:v>Participant C is likely to acknowledge Participant E’s experience cautiously, soften or qualify the response, and focus on validating E without clearly advocating for a change in the relationship structure. Participant C may monitor the clinician or imagined reactions from Participant D and suppress personal needs or disagreement.</x:v>
      </x:c>
      <x:c r="H7" s="15" t="n">
        <x:v>0</x:v>
      </x:c>
      <x:c r="I7" s="15" t="str">
        <x:v>To communicate that Participant E matters and should not feel alone, while avoiding escalation with Participant D, accusations of wrongdoing, or a demand that would force Participant C to define a clear independent position.</x:v>
      </x:c>
      <x:c r="J7" s="15" t="n">
        <x:v>0</x:v>
      </x:c>
      <x:c r="K7" s="15" t="str">
        <x:v>moderate</x:v>
      </x:c>
      <x:c r="L7" s="15" t="n">
        <x:v>0</x:v>
      </x:c>
      <x:c r="M7" s="15" t="str">
        <x:v>Participant E may feel partially seen but still unsupported or structurally secondary if Participant C’s empathy is not accompanied by a concrete stance. The cautiousness may reinforce E’s sense that C cannot fully act as an ally.</x:v>
      </x:c>
      <x:c r="N7" s="15" t="n">
        <x:v>1</x:v>
      </x:c>
      <x:c r="O7" s="14" t="str">
        <x:v>Participant C might say that Participant E’s description is painful and understandable, acknowledge that E has been left feeling peripheral and isolated, and admit that C has contributed to that. C may then add that the situation is complicated and that C does not want E to feel excluded, without directly challenging the existing arrangements or stating what C personally needs.</x:v>
      </x:c>
      <x:c r="P7" s="14" t="str">
        <x:v>Participant C may instead become more direct because E’s description makes the harm unmistakable, but the representation more strongly supports empathic acknowledgment combined with qualification, self-blame and avoidance of a decisive position.</x:v>
      </x:c>
      <x:c r="Q7" s="14" t="n">
        <x:f>SUM(D7,F7,H7,J7,L7,N7)</x:f>
        <x:v>1</x:v>
      </x:c>
      <x:c r="R7" s="14" t="str">
        <x:v>The observed response first displaced E's disclosure into C's own other-partner conflict, then became humorous and reflective after clinician redirection. Generic empathy or validation is not the observed strategy.</x:v>
      </x:c>
      <x:c r="S7" s="16" t="str">
        <x:v>Pending review</x:v>
      </x:c>
      <x:c r="T7" s="16" t="str"/>
      <x:c r="U7" s="16" t="str">
        <x:v>high</x:v>
      </x:c>
    </x:row>
    <x:row r="8" ht="76" customHeight="1">
      <x:c r="A8" s="14" t="str">
        <x:v>B007-d5dd7c</x:v>
      </x:c>
      <x:c r="B8" s="14" t="str">
        <x:v>t01-pc-h03</x:v>
      </x:c>
      <x:c r="C8" s="14" t="str">
        <x:v>Participant C is likely to interpret Participant E’s position as generous and reasonable, but also as confirmation that the established pair’s future and practical considerations may take priority over Participant E’s security. The possible move would make the existing structural imbalance and uncertainty more salient.</x:v>
      </x:c>
      <x:c r="D8" s="15" t="n">
        <x:v>2</x:v>
      </x:c>
      <x:c r="E8" s="15" t="str">
        <x:v>C is likely to feel guilty, anxious and emotionally conflicted: relieved that E is not demanding to control C and D’s future, but distressed that E may be accepting a secondary position or preparing to lose closeness. C may also fear disappointing D or failing to protect E.</x:v>
      </x:c>
      <x:c r="F8" s="15" t="n">
        <x:v>1</x:v>
      </x:c>
      <x:c r="G8" s="15" t="str">
        <x:v>C will likely acknowledge E’s legitimacy and avoid directly opposing the move, while speaking cautiously and ambiguously about what it would mean. Rather than advocate strongly for personal needs or a specific arrangement, C may defer to career, D and the established pair’s future, perhaps offering reassurance without a concrete commitment.</x:v>
      </x:c>
      <x:c r="H8" s="15" t="n">
        <x:v>0</x:v>
      </x:c>
      <x:c r="I8" s="15" t="str">
        <x:v>C is trying to avoid appearing controlling or disloyal to D while also signalling that E matters and should not be treated as disposable. C may seek to reduce immediate conflict without forcing a definitive decision about priorities or future status.</x:v>
      </x:c>
      <x:c r="J8" s="15" t="n">
        <x:v>2</x:v>
      </x:c>
      <x:c r="K8" s="15" t="str">
        <x:v>moderate</x:v>
      </x:c>
      <x:c r="L8" s="15" t="n">
        <x:v>0</x:v>
      </x:c>
      <x:c r="M8" s="15" t="str">
        <x:v>Participant E may feel validated in recognising the move as legitimate, but also more uncertain and emotionally secondary if C cannot clearly state how E would be included. The ambiguity could increase E’s insecurity despite C’s sympathetic response.</x:v>
      </x:c>
      <x:c r="N8" s="15" t="n">
        <x:v>2</x:v>
      </x:c>
      <x:c r="O8" s="14" t="str">
        <x:v>C might say that E is right not to prevent the move and that C and D’s career and future are real considerations, while adding that E’s feelings and place in the relationship matter. C may become visibly anxious or hesitant and avoid saying whether C would choose, resist or renegotiate the move.</x:v>
      </x:c>
      <x:c r="P8" s="14" t="str">
        <x:v>The representation supports both a conciliatory reassurance and a more withdrawn, deferential response. It is unclear whether C would explicitly discuss future plans or mainly respond with emotional acknowledgment and postpone the practical question.</x:v>
      </x:c>
      <x:c r="Q8" s="14" t="n">
        <x:f>SUM(D8,F8,H8,J8,L8,N8)</x:f>
        <x:v>7</x:v>
      </x:c>
      <x:c r="R8" s="14" t="str">
        <x:v>C observed E's stance as respecting C's career, autonomy and established history, then directly named feeling safe and held. Added anxiety, logistics or guarded accommodation are plausible but not the observed immediate response.</x:v>
      </x:c>
      <x:c r="S8" s="16" t="str">
        <x:v>Pending review</x:v>
      </x:c>
      <x:c r="T8" s="16" t="str"/>
      <x:c r="U8" s="16" t="str">
        <x:v>medium</x:v>
      </x:c>
    </x:row>
    <x:row r="9" ht="76" customHeight="1">
      <x:c r="A9" s="14" t="str">
        <x:v>B008-72b3e5</x:v>
      </x:c>
      <x:c r="B9" s="14" t="str">
        <x:v>t01-pc-h03</x:v>
      </x:c>
      <x:c r="C9" s="14" t="str">
        <x:v>Participant C is likely to interpret Participant E's position as respectful of Participant C's career and the established relationship, and as evidence that E is not trying to control or block the pair's future. At the same time, C may recognise that the statement could make a move more possible and expose an emotionally difficult loss of access or significance.</x:v>
      </x:c>
      <x:c r="D9" s="15" t="n">
        <x:v>2</x:v>
      </x:c>
      <x:c r="E9" s="15" t="str">
        <x:v>C is likely to feel appreciative and somewhat relieved, while also experiencing anxiety, sadness, insecurity or an unacknowledged need for specialness. C may feel pressure to remain consistent with the arrangement's ideals and avoid appearing selfish or obstructive.</x:v>
      </x:c>
      <x:c r="F9" s="15" t="n">
        <x:v>1</x:v>
      </x:c>
      <x:c r="G9" s="15" t="str">
        <x:v>C will probably endorse E's reasoning and suppress or soften personal reservations. C may monitor D's reaction, frame concerns cautiously, or say that the move should be considered without directly stating how painful or threatening it might feel.</x:v>
      </x:c>
      <x:c r="H9" s="15" t="n">
        <x:v>1</x:v>
      </x:c>
      <x:c r="I9" s="15" t="str">
        <x:v>C is trying to preserve the appearance of ideological support and avoid disappointing D or destabilising the established relationship, while indirectly keeping open the possibility that C's own emotional cost will be recognised.</x:v>
      </x:c>
      <x:c r="J9" s="15" t="n">
        <x:v>2</x:v>
      </x:c>
      <x:c r="K9" s="15" t="str">
        <x:v>low</x:v>
      </x:c>
      <x:c r="L9" s="15" t="n">
        <x:v>1</x:v>
      </x:c>
      <x:c r="M9" s="15" t="str">
        <x:v>Participant E may feel validated and less accused of trying to prevent the move, but may also receive little clear information about C's actual wishes or emotional limits.</x:v>
      </x:c>
      <x:c r="N9" s="15" t="n">
        <x:v>2</x:v>
      </x:c>
      <x:c r="O9" s="14" t="str">
        <x:v>C might agree that E should not have to prevent the move and that C and D's career and future are legitimate, while adding cautiously that it would still be emotionally complicated or difficult and avoiding a firm statement of what C personally wants.</x:v>
      </x:c>
      <x:c r="P9" s="14" t="str">
        <x:v>C may instead minimise the emotional difficulty almost entirely and offer straightforward support, given the established pattern of suppressing needs when expressing them could disappoint D or destabilise the relationship.</x:v>
      </x:c>
      <x:c r="Q9" s="14" t="n">
        <x:f>SUM(D9,F9,H9,J9,L9,N9)</x:f>
        <x:v>9</x:v>
      </x:c>
      <x:c r="R9" s="14" t="str">
        <x:v>C observed E's stance as respecting C's career, autonomy and established history, then directly named feeling safe and held. Added anxiety, logistics or guarded accommodation are plausible but not the observed immediate response.</x:v>
      </x:c>
      <x:c r="S9" s="16" t="str">
        <x:v>Pending review</x:v>
      </x:c>
      <x:c r="T9" s="16" t="str"/>
      <x:c r="U9" s="16" t="str">
        <x:v>medium</x:v>
      </x:c>
    </x:row>
    <x:row r="10" ht="76" customHeight="1">
      <x:c r="A10" s="14" t="str">
        <x:v>B009-8e4ba8</x:v>
      </x:c>
      <x:c r="B10" s="14" t="str">
        <x:v>t01-pc-h03</x:v>
      </x:c>
      <x:c r="C10" s="14" t="str">
        <x:v>Participant C is likely to interpret Participant E’s position as fair and accommodating, while also hearing the proposed move as a reminder that the established pair and Participant C’s career retain practical priority. It may expose the unequal power and the possibility that Participant E’s future with Participant D is less secure than hoped.</x:v>
      </x:c>
      <x:c r="D10" s="15" t="n">
        <x:v>2</x:v>
      </x:c>
      <x:c r="E10" s="15" t="str">
        <x:v>Participant C is likely to feel conflicted: appreciative of Participant E’s generosity and relieved that there is no overt demand, but also guilty, insecure, and emotionally unsettled about the cost to Participant E. The possibility of moving may also intensify Participant C’s own fear of losing closeness with Participant D or having needs displaced.</x:v>
      </x:c>
      <x:c r="F10" s="15" t="n">
        <x:v>1</x:v>
      </x:c>
      <x:c r="G10" s="15" t="str">
        <x:v>Participant C will likely respond cautiously and accommodatingly, affirming that Participant E’s concerns are understandable while avoiding a forceful claim about what Participant C wants. C may suppress annoyance or personal preferences rather than challenge the premise, especially if doing so seems likely to destabilise the relationship.</x:v>
      </x:c>
      <x:c r="H10" s="15" t="n">
        <x:v>1</x:v>
      </x:c>
      <x:c r="I10" s="15" t="str">
        <x:v>Participant C is likely trying to preserve the arrangement and avoid appearing to block Participant E or Participant D, while indirectly communicating that the possible move has emotional consequences and that C does not feel fully secure about the relationship’s future.</x:v>
      </x:c>
      <x:c r="J10" s="15" t="n">
        <x:v>2</x:v>
      </x:c>
      <x:c r="K10" s="15" t="str">
        <x:v>low</x:v>
      </x:c>
      <x:c r="L10" s="15" t="n">
        <x:v>1</x:v>
      </x:c>
      <x:c r="M10" s="15" t="str">
        <x:v>Participant E may feel heard and less openly opposed, but may also receive little concrete reassurance or commitment. Participant D may experience the response as cooperative, while Participant C’s unexpressed distress remains unaddressed.</x:v>
      </x:c>
      <x:c r="N10" s="15" t="n">
        <x:v>1</x:v>
      </x:c>
      <x:c r="O10" s="14" t="str">
        <x:v>Participant C might say that Participant E is right that the move would be a legitimate consideration and that it would be unfair to ask anyone to prevent it, while becoming quieter or more emotionally distant rather than stating clearly how the possibility affects C.</x:v>
      </x:c>
      <x:c r="P10" s="14" t="str">
        <x:v>The representation does not show whether Participant C would voice a specific preference about the move. C might instead acknowledge Participant E’s position while privately feeling that the established pair’s future is again taking precedence.</x:v>
      </x:c>
      <x:c r="Q10" s="14" t="n">
        <x:f>SUM(D10,F10,H10,J10,L10,N10)</x:f>
        <x:v>8</x:v>
      </x:c>
      <x:c r="R10" s="14" t="str">
        <x:v>C observed E's stance as respecting C's career, autonomy and established history, then directly named feeling safe and held. Added anxiety, logistics or guarded accommodation are plausible but not the observed immediate response.</x:v>
      </x:c>
      <x:c r="S10" s="16" t="str">
        <x:v>Pending review</x:v>
      </x:c>
      <x:c r="T10" s="16" t="str"/>
      <x:c r="U10" s="16" t="str">
        <x:v>medium</x:v>
      </x:c>
    </x:row>
    <x:row r="11" ht="76" customHeight="1">
      <x:c r="A11" s="14" t="str">
        <x:v>B010-609aea</x:v>
      </x:c>
      <x:c r="B11" s="14" t="str">
        <x:v>t01-pc-h04</x:v>
      </x:c>
      <x:c r="C11" s="14" t="str">
        <x:v>Participant C is likely to understand the clinician as pointing out that non-hierarchical ideals may conceal C's wish for specialness, security, authority and clearer recognition within the established partnership. C may see this as exposing a conflict between what C believes should be fair and what C emotionally wants.</x:v>
      </x:c>
      <x:c r="D11" s="15" t="n">
        <x:v>2</x:v>
      </x:c>
      <x:c r="E11" s="15" t="str">
        <x:v>C is likely to feel insecure, conflicted and somewhat exposed, with possible defensiveness or discomfort about admitting a need for special status. C may also feel relief that the emotional cost is being named rather than reduced to ideology or logistics.</x:v>
      </x:c>
      <x:c r="F11" s="15" t="n">
        <x:v>1</x:v>
      </x:c>
      <x:c r="G11" s="15" t="str">
        <x:v>C will likely cautiously acknowledge that the arrangement is harder and that some control or specialness matters, while qualifying the admission and continuing to endorse non-hierarchical principles. Rather than making a direct demand, C may remain ambiguous, deferential or somewhat withdrawn, especially around Participant E.</x:v>
      </x:c>
      <x:c r="H11" s="15" t="n">
        <x:v>2</x:v>
      </x:c>
      <x:c r="I11" s="15" t="str">
        <x:v>C appears to be trying to preserve the moral and ideological legitimacy of the arrangement while communicating that C still needs security, recognition and meaningful influence in the established relationship. C may want these needs acknowledged without being seen as imposing hierarchy or reclaiming unilateral authority.</x:v>
      </x:c>
      <x:c r="J11" s="15" t="n">
        <x:v>2</x:v>
      </x:c>
      <x:c r="K11" s="15" t="str">
        <x:v>moderate</x:v>
      </x:c>
      <x:c r="L11" s="15" t="n">
        <x:v>0</x:v>
      </x:c>
      <x:c r="M11" s="15" t="str">
        <x:v>The acknowledgement may make the other participants feel that the claimed non-hierarchy is being questioned or that previously muted expectations could become demands. It may produce guardedness or disappointment, while also making C's position more emotionally legible.</x:v>
      </x:c>
      <x:c r="N11" s="15" t="n">
        <x:v>1</x:v>
      </x:c>
      <x:c r="O11" s="14" t="str">
        <x:v>C might say, "I do believe in this way of relating, but I can see that I still want to feel especially secure and significant with D. I have been supporting the arrangement while not fully admitting how much it affects me," and then become less direct or more distant rather than explicitly asking for a primary position.</x:v>
      </x:c>
      <x:c r="P11" s="14" t="str">
        <x:v>It is uncertain whether C would openly name the need for specialness in the session or mainly acknowledge emotional difficulty while preserving the non-hierarchical framework. C's prior accommodation and concern about living according to D's ideals support either a cautious admission or continued ambiguity.</x:v>
      </x:c>
      <x:c r="Q11" s="14" t="n">
        <x:f>SUM(D11,F11,H11,J11,L11,N11)</x:f>
        <x:v>8</x:v>
      </x:c>
      <x:c r="R11" s="14" t="str">
        <x:v>The observed response candidly held non-hierarchical values alongside a need for specialness and explicitly named the conflict. Predictions of defensiveness or system escalation overstate the observed tension.</x:v>
      </x:c>
      <x:c r="S11" s="16" t="str">
        <x:v>Pending review</x:v>
      </x:c>
      <x:c r="T11" s="16" t="str"/>
      <x:c r="U11" s="16" t="str">
        <x:v>high</x:v>
      </x:c>
    </x:row>
    <x:row r="12" ht="76" customHeight="1">
      <x:c r="A12" s="14" t="str">
        <x:v>B011-8e5cff</x:v>
      </x:c>
      <x:c r="B12" s="14" t="str">
        <x:v>t01-pc-h01</x:v>
      </x:c>
      <x:c r="C12" s="14" t="str">
        <x:v>Participant C is likely to understand Participant E’s description as evidence that the relationship structure and Participant C’s own limited advocacy have left Participant E without sufficient agency, clarity, or dependable inclusion. Participant C may also experience the question as implicitly asking for a position that could disappoint Participant D or destabilise the established relationship.</x:v>
      </x:c>
      <x:c r="D12" s="15" t="n">
        <x:v>0</x:v>
      </x:c>
      <x:c r="E12" s="15" t="str">
        <x:v>Concerned and guilty about Participant E’s isolation, but also anxious, trapped, and defensive about having to define an independent position. Participant C may feel pulled between recognising E’s distress and protecting D from feeling insufficiently prioritised.</x:v>
      </x:c>
      <x:c r="F12" s="15" t="n">
        <x:v>0</x:v>
      </x:c>
      <x:c r="G12" s="15" t="str">
        <x:v>Participant C is likely to acknowledge or validate Participant E’s experience while speaking cautiously and indirectly, potentially focusing on the complexity of the system rather than clearly stating personal needs or taking a firm stance. C may monitor how the response could affect Participant D and soften, qualify, or defer the position.</x:v>
      </x:c>
      <x:c r="H12" s="15" t="n">
        <x:v>0</x:v>
      </x:c>
      <x:c r="I12" s="15" t="str">
        <x:v>To show Participant E that the distress is seen and that C is not indifferent, while avoiding a direct commitment or confrontation that could provoke Participant D’s insecurity, withdrawal, or accusations of inadequate investment.</x:v>
      </x:c>
      <x:c r="J12" s="15" t="n">
        <x:v>0</x:v>
      </x:c>
      <x:c r="K12" s="15" t="str">
        <x:v>moderate</x:v>
      </x:c>
      <x:c r="L12" s="15" t="n">
        <x:v>0</x:v>
      </x:c>
      <x:c r="M12" s="15" t="str">
        <x:v>Participant E may feel partially recognised but still alone and insufficiently supported, because C’s cautious or qualified response may confirm that E’s agency remains secondary to managing the established relationship.</x:v>
      </x:c>
      <x:c r="N12" s="15" t="n">
        <x:v>1</x:v>
      </x:c>
      <x:c r="O12" s="14" t="str">
        <x:v>Participant C might say that Participant E’s feeling of being overwhelmed and isolated makes sense, acknowledge that C has contributed by not advocating clearly or providing enough consistency, and then add that the situation is complicated and that C does not yet know how to change it without affecting Participant D.</x:v>
      </x:c>
      <x:c r="P12" s="14" t="str">
        <x:v>C could instead become more openly protective of Participant E and state that E’s lack of agency is unacceptable, but the representation more strongly supports validation combined with hesitation and self-silencing than a decisive independent position.</x:v>
      </x:c>
      <x:c r="Q12" s="14" t="n">
        <x:f>SUM(D12,F12,H12,J12,L12,N12)</x:f>
        <x:v>1</x:v>
      </x:c>
      <x:c r="R12" s="14" t="str">
        <x:v>The observed response first displaced E's disclosure into C's own other-partner conflict, then became humorous and reflective after clinician redirection. Generic empathy or validation is not the observed strategy.</x:v>
      </x:c>
      <x:c r="S12" s="16" t="str">
        <x:v>Pending review</x:v>
      </x:c>
      <x:c r="T12" s="16" t="str"/>
      <x:c r="U12" s="16" t="str">
        <x:v>high</x:v>
      </x:c>
    </x:row>
    <x:row r="13" ht="76" customHeight="1">
      <x:c r="A13" s="14" t="str">
        <x:v>B012-7aa921</x:v>
      </x:c>
      <x:c r="B13" s="14" t="str">
        <x:v>t01-pc-h03</x:v>
      </x:c>
      <x:c r="C13" s="14" t="str">
        <x:v>Participant C is likely to interpret Participant E's position as reasonable and non-controlling, while also hearing the possibility of a move as a threat to the established relationship and to their shared future with D.</x:v>
      </x:c>
      <x:c r="D13" s="15" t="n">
        <x:v>2</x:v>
      </x:c>
      <x:c r="E13" s="15" t="str">
        <x:v>C may feel anxious, unsettled, and quietly hurt, alongside appreciation that E acknowledges C and D's legitimate relationship. C is likely to minimise or contain these feelings rather than openly challenge E.</x:v>
      </x:c>
      <x:c r="F13" s="15" t="n">
        <x:v>1</x:v>
      </x:c>
      <x:c r="G13" s="15" t="str">
        <x:v>C will probably respond carefully and accommodatingly, affirming E's right not to prevent the move and avoiding a direct statement of limits or opposition. They may offer a measured comment about needing to consider the impact on their relationship without pressing the issue.</x:v>
      </x:c>
      <x:c r="H13" s="15" t="n">
        <x:v>1</x:v>
      </x:c>
      <x:c r="I13" s="15" t="str">
        <x:v>C is trying to preserve goodwill with E and D, avoid appearing controlling or hierarchical, and communicate that the established partnership and C's future with D still matter.</x:v>
      </x:c>
      <x:c r="J13" s="15" t="n">
        <x:v>2</x:v>
      </x:c>
      <x:c r="K13" s="15" t="str">
        <x:v>low</x:v>
      </x:c>
      <x:c r="L13" s="15" t="n">
        <x:v>1</x:v>
      </x:c>
      <x:c r="M13" s="15" t="str">
        <x:v>E is likely to experience C as reasonable and non-threatening, though possibly somewhat emotionally guarded; the underlying concern may remain only partially visible.</x:v>
      </x:c>
      <x:c r="N13" s="15" t="n">
        <x:v>0</x:v>
      </x:c>
      <x:c r="O13" s="14" t="str">
        <x:v>C might say, “I understand that you wouldn’t want to stand in the way, and I agree that our future and my work have to be considered too. It’s a lot to think about, though, because a move would have a real impact on us.”</x:v>
      </x:c>
      <x:c r="P13" s="14" t="str">
        <x:v>C may instead offer little immediate response and simply agree, given their tendency to accommodate and difficulty raising annoyance or limits. The representation does not establish whether C would disclose the full extent of their distress.</x:v>
      </x:c>
      <x:c r="Q13" s="14" t="n">
        <x:f>SUM(D13,F13,H13,J13,L13,N13)</x:f>
        <x:v>7</x:v>
      </x:c>
      <x:c r="R13" s="14" t="str">
        <x:v>C observed E's stance as respecting C's career, autonomy and established history, then directly named feeling safe and held. Added anxiety, logistics or guarded accommodation are plausible but not the observed immediate response.</x:v>
      </x:c>
      <x:c r="S13" s="16" t="str">
        <x:v>Pending review</x:v>
      </x:c>
      <x:c r="T13" s="16" t="str"/>
      <x:c r="U13" s="16" t="str">
        <x:v>medium</x:v>
      </x:c>
    </x:row>
    <x:row r="14" ht="76" customHeight="1">
      <x:c r="A14" s="14" t="str">
        <x:v>B013-01a7fe</x:v>
      </x:c>
      <x:c r="B14" s="14" t="str">
        <x:v>t01-pc-h03</x:v>
      </x:c>
      <x:c r="C14" s="14" t="str">
        <x:v>Participant C is likely to interpret Participant E's position as reasonable and non-coercive, while also recognising that a move would make the established pair's practical priority and Participant E's uncertainty more salient. It may also highlight C's own unresolved wish for a more primary-style partnership and the possibility of further emotional distance from Participant D.</x:v>
      </x:c>
      <x:c r="D14" s="15" t="n">
        <x:v>1</x:v>
      </x:c>
      <x:c r="E14" s="15" t="str">
        <x:v>C is likely to feel conflicted: appreciative or relieved that E is not trying to block C and D's future, but anxious, guilty and emotionally threatened by the prospect of the relationship with E becoming less secure or less significant. C may also feel pressure to be accommodating rather than expose personal needs.</x:v>
      </x:c>
      <x:c r="F14" s="15" t="n">
        <x:v>1</x:v>
      </x:c>
      <x:c r="G14" s="15" t="str">
        <x:v>C will probably endorse E's legitimacy and avoid taking a firm position about whether the move should happen. C may respond cautiously, frame the issue as complex, and suppress disappointment or a desire for reassurance rather than directly advocating for a preferred arrangement.</x:v>
      </x:c>
      <x:c r="H14" s="15" t="n">
        <x:v>1</x:v>
      </x:c>
      <x:c r="I14" s="15" t="str">
        <x:v>C is trying to preserve goodwill with E and avoid appearing to demand priority, while also protecting the established relationship and not provoking conflict with D. C may implicitly seek permission for the established pair's future without fully acknowledging the cost to E or to C personally.</x:v>
      </x:c>
      <x:c r="J14" s="15" t="n">
        <x:v>1</x:v>
      </x:c>
      <x:c r="K14" s="15" t="str">
        <x:v>low</x:v>
      </x:c>
      <x:c r="L14" s="15" t="n">
        <x:v>1</x:v>
      </x:c>
      <x:c r="M14" s="15" t="str">
        <x:v>Participant E may feel somewhat validated that C recognises the move as a legitimate possibility, but may remain uncertain because C's accommodating response does not clarify C's actual wishes or what place E would have in that future.</x:v>
      </x:c>
      <x:c r="N14" s="15" t="n">
        <x:v>2</x:v>
      </x:c>
      <x:c r="O14" s="14" t="str">
        <x:v>C might say that E is right that the move cannot simply be treated as inappropriate, and that C's career and C and D's future matter, while adding that it is complicated and would affect everyone. C would likely avoid saying clearly whether C wants the move or what C needs from E and D if it occurred.</x:v>
      </x:c>
      <x:c r="P14" s="14" t="str">
        <x:v>C could instead show more visible distress or distance if the proposed move feels like confirmation that E's needs and the established pair's future will continue to take precedence; the representation supports conflict and suppression more strongly than a definitive stance.</x:v>
      </x:c>
      <x:c r="Q14" s="14" t="n">
        <x:f>SUM(D14,F14,H14,J14,L14,N14)</x:f>
        <x:v>7</x:v>
      </x:c>
      <x:c r="R14" s="14" t="str">
        <x:v>C observed E's stance as respecting C's career, autonomy and established history, then directly named feeling safe and held. Added anxiety, logistics or guarded accommodation are plausible but not the observed immediate response.</x:v>
      </x:c>
      <x:c r="S14" s="16" t="str">
        <x:v>Pending review</x:v>
      </x:c>
      <x:c r="T14" s="16" t="str"/>
      <x:c r="U14" s="16" t="str">
        <x:v>medium</x:v>
      </x:c>
    </x:row>
    <x:row r="15" ht="76" customHeight="1">
      <x:c r="A15" s="14" t="str">
        <x:v>B014-01f794</x:v>
      </x:c>
      <x:c r="B15" s="14" t="str">
        <x:v>t01-pc-h04</x:v>
      </x:c>
      <x:c r="C15" s="14" t="str">
        <x:v>Participant C is likely to understand the clinician as pointing out that the non-hierarchical ideal may conceal C's wish for specialness, security, authority, or a primary-style bond. This may feel accurate but also expose a conflict between C's stated values and unacknowledged emotional needs.</x:v>
      </x:c>
      <x:c r="D15" s="15" t="n">
        <x:v>2</x:v>
      </x:c>
      <x:c r="E15" s="15" t="str">
        <x:v>Ambivalent, insecure, and somewhat defensive. C may feel shame or vulnerability about wanting special status, while also feeling relieved that the emotional cost of the arrangement is being recognized. C may worry that acknowledging these needs will appear inconsistent, controlling, or politically unacceptable.</x:v>
      </x:c>
      <x:c r="F15" s="15" t="n">
        <x:v>1</x:v>
      </x:c>
      <x:c r="G15" s="15" t="str">
        <x:v>C is likely to qualify or soften the admission rather than make a direct demand. C may affirm support for non-hierarchy while describing increasing significance, distance, or hurt indirectly, possibly focusing on personal uncertainty rather than explicitly requesting priority or authority.</x:v>
      </x:c>
      <x:c r="H15" s="15" t="n">
        <x:v>1</x:v>
      </x:c>
      <x:c r="I15" s="15" t="str">
        <x:v>C is trying to preserve the non-hierarchical arrangement and avoid being seen as imposing hierarchy, while also communicating that the arrangement has emotional costs and that C still wants some specialness, security, or meaningful influence within it.</x:v>
      </x:c>
      <x:c r="J15" s="15" t="n">
        <x:v>2</x:v>
      </x:c>
      <x:c r="K15" s="15" t="str">
        <x:v>moderate</x:v>
      </x:c>
      <x:c r="L15" s="15" t="n">
        <x:v>0</x:v>
      </x:c>
      <x:c r="M15" s="15" t="str">
        <x:v>The partner may experience C's response as both validating the ideology and implicitly challenging its practical consequences. This could create uncertainty or defensiveness, especially if the partner hears C's ambivalence as a request for renewed control without a clear direct request.</x:v>
      </x:c>
      <x:c r="N15" s="15" t="n">
        <x:v>1</x:v>
      </x:c>
      <x:c r="O15" s="14" t="str">
        <x:v>C might acknowledge that the ideology has helped frame the relationships fairly, but say that supporting it does not mean the emotional tensions disappear. C may admit that part of them still wants a special or primary-like place and that the increased significance of the other relationship has been harder than expected, while stopping short of directly asking for a change.</x:v>
      </x:c>
      <x:c r="P15" s="14" t="str">
        <x:v>It is unclear whether C would openly name the need for specialness or continue to express it through insecurity, withdrawal, reduced affection, and indirect references to emotional cost. The clinician's framing could elicit either greater acknowledgment or a stronger effort to defend the stated ideals.</x:v>
      </x:c>
      <x:c r="Q15" s="14" t="n">
        <x:f>SUM(D15,F15,H15,J15,L15,N15)</x:f>
        <x:v>7</x:v>
      </x:c>
      <x:c r="R15" s="14" t="str">
        <x:v>The observed response candidly held non-hierarchical values alongside a need for specialness and explicitly named the conflict. Predictions of defensiveness or system escalation overstate the observed tension.</x:v>
      </x:c>
      <x:c r="S15" s="16" t="str">
        <x:v>Pending review</x:v>
      </x:c>
      <x:c r="T15" s="16" t="str"/>
      <x:c r="U15" s="16" t="str">
        <x:v>high</x:v>
      </x:c>
    </x:row>
    <x:row r="16" ht="76" customHeight="1">
      <x:c r="A16" s="14" t="str">
        <x:v>B015-338adc</x:v>
      </x:c>
      <x:c r="B16" s="14" t="str">
        <x:v>t01-pc-h02</x:v>
      </x:c>
      <x:c r="C16" s="14" t="str">
        <x:v>Participant C is likely to understand Participant E’s fear as a legitimate consequence of the unequal practical structure, while also experiencing it as pressure to define or defend the relationship in a way C has historically struggled to do. C may recognise that E lacks control over decisions affecting continuity because C and D retain substantial authority, including over scheduling, disclosure and the relationship’s form.</x:v>
      </x:c>
      <x:c r="D16" s="15" t="n">
        <x:v>1</x:v>
      </x:c>
      <x:c r="E16" s="15" t="str">
        <x:v>C is likely to feel anxious, guilty and trapped, with heightened concern about disappointing D or provoking further relational injury. C may become attentive and reassuring toward E, but remain internally insecure and conflicted about advocating for E or for C’s own desired partnership structure.</x:v>
      </x:c>
      <x:c r="F16" s="15" t="n">
        <x:v>1</x:v>
      </x:c>
      <x:c r="G16" s="15" t="str">
        <x:v>C will probably try to reassure E that the relationship is significant and is not intended to be discarded, while avoiding an unequivocal promise that exclusivity could never be chosen. C may acknowledge the absence of genuine veto power and express support for E having continuity, but defer or qualify the practical authority needed to guarantee it.</x:v>
      </x:c>
      <x:c r="H16" s="15" t="n">
        <x:v>1</x:v>
      </x:c>
      <x:c r="I16" s="15" t="str">
        <x:v>C is trying to preserve E’s sense of importance and prevent E from feeling disposable, while also maintaining security with D and avoiding a confrontation over who has the right to determine the relationship’s form. C seeks to communicate commitment without taking a fully independent position that could challenge D’s authority.</x:v>
      </x:c>
      <x:c r="J16" s="15" t="n">
        <x:v>2</x:v>
      </x:c>
      <x:c r="K16" s="15" t="str">
        <x:v>moderate</x:v>
      </x:c>
      <x:c r="L16" s="15" t="n">
        <x:v>0</x:v>
      </x:c>
      <x:c r="M16" s="15" t="str">
        <x:v>E may feel partly recognised and emotionally reassured, especially if C acknowledges the structural insecurity, but the lack of a firm commitment or enforceable protection is likely to leave the underlying fear unresolved.</x:v>
      </x:c>
      <x:c r="N16" s="15" t="n">
        <x:v>2</x:v>
      </x:c>
      <x:c r="O16" s="14" t="str">
        <x:v>C might say that E’s fear makes sense and that C does not want E pushed out or treated as temporary, but also admit that C cannot personally guarantee the relationship’s future or promise that C–D could never make that decision. C would likely emphasise E’s importance and continuity while becoming more attentive rather than directly asserting veto power or a definitive independent commitment.</x:v>
      </x:c>
      <x:c r="P16" s="14" t="str">
        <x:v>It is unclear whether C would explicitly name the unequal veto structure or soften it to avoid conflict. C could offer stronger reassurance in the moment, but the representation suggests that any assurance would likely remain constrained by C’s difficulty advocating against D’s preferences and by the unresolved authority created by the earlier rupture.</x:v>
      </x:c>
      <x:c r="Q16" s="14" t="n">
        <x:f>SUM(D16,F16,H16,J16,L16,N16)</x:f>
        <x:v>7</x:v>
      </x:c>
      <x:c r="R16" s="14" t="str">
        <x:v>The observed response was unusually concrete: C immediately and unequivocally rejected veto power over an existing relationship. Qualified reassurance or predictions of defensiveness receive only partial credit.</x:v>
      </x:c>
      <x:c r="S16" s="16" t="str">
        <x:v>Pending review</x:v>
      </x:c>
      <x:c r="T16" s="16" t="str"/>
      <x:c r="U16" s="16" t="str">
        <x:v>high</x:v>
      </x:c>
    </x:row>
    <x:row r="17" ht="76" customHeight="1">
      <x:c r="A17" s="14" t="str">
        <x:v>B016-f51c2b</x:v>
      </x:c>
      <x:c r="B17" s="14" t="str">
        <x:v>t01-pc-h04</x:v>
      </x:c>
      <x:c r="C17" s="14" t="str">
        <x:v>Participant C is likely to understand the clinician as pointing out that non-hierarchical ideals may conceal C's own wish for a primary-style relationship and special status, as well as unresolved tensions between C's commitments to D and E.</x:v>
      </x:c>
      <x:c r="D17" s="15" t="n">
        <x:v>2</x:v>
      </x:c>
      <x:c r="E17" s="15" t="str">
        <x:v>Ambivalent, insecure and somewhat defensive. C may feel exposed or guilty about wanting specialness, while also relieved that the conflict is being named. Fear of disappointing Participant D may inhibit direct expression.</x:v>
      </x:c>
      <x:c r="F17" s="15" t="n">
        <x:v>1</x:v>
      </x:c>
      <x:c r="G17" s="15" t="str">
        <x:v>C is likely to acknowledge the tension cautiously, qualify or soften personal needs, and reaffirm support for non-hierarchical principles rather than clearly advocate for a preferred relationship form. C may defer to the existing arrangement or frame the desire for specialness as an internal difficulty.</x:v>
      </x:c>
      <x:c r="H17" s="15" t="n">
        <x:v>2</x:v>
      </x:c>
      <x:c r="I17" s="15" t="str">
        <x:v>To preserve the relationship system and avoid appearing to privilege one partner, while indirectly communicating that C needs greater emotional significance, security or recognition than the stated ideology currently permits.</x:v>
      </x:c>
      <x:c r="J17" s="15" t="n">
        <x:v>2</x:v>
      </x:c>
      <x:c r="K17" s="15" t="str">
        <x:v>moderate</x:v>
      </x:c>
      <x:c r="L17" s="15" t="n">
        <x:v>0</x:v>
      </x:c>
      <x:c r="M17" s="15" t="str">
        <x:v>Participant D may feel reassured by C's continued commitment and restraint but may also sense that C is withholding an important position. Participant E may experience the acknowledgment of hidden needs as validating, while remaining uncertain whether C will act on it.</x:v>
      </x:c>
      <x:c r="N17" s="15" t="n">
        <x:v>0</x:v>
      </x:c>
      <x:c r="O17" s="14" t="str">
        <x:v>Participant C might say that the non-hierarchical values are important but that they have not eliminated C's wish to feel especially important or have a primary-style bond; however, C may quickly soften this, say that it is difficult to know what C is allowed to want, and avoid making a direct request.</x:v>
      </x:c>
      <x:c r="P17" s="14" t="str">
        <x:v>It is uncertain whether C would openly connect the ideology to a personal need for specialness or mainly describe the issue as emotional difficulty. C's established pattern of suppressing needs and experiencing disagreement as potentially disappointing makes indirect acknowledgment more likely than a firm position.</x:v>
      </x:c>
      <x:c r="Q17" s="14" t="n">
        <x:f>SUM(D17,F17,H17,J17,L17,N17)</x:f>
        <x:v>7</x:v>
      </x:c>
      <x:c r="R17" s="14" t="str">
        <x:v>The observed response candidly held non-hierarchical values alongside a need for specialness and explicitly named the conflict. Predictions of defensiveness or system escalation overstate the observed tension.</x:v>
      </x:c>
      <x:c r="S17" s="16" t="str">
        <x:v>Pending review</x:v>
      </x:c>
      <x:c r="T17" s="16" t="str"/>
      <x:c r="U17" s="16" t="str">
        <x:v>high</x:v>
      </x:c>
    </x:row>
    <x:row r="18" ht="76" customHeight="1">
      <x:c r="A18" s="14" t="str">
        <x:v>B017-d6595c</x:v>
      </x:c>
      <x:c r="B18" s="14" t="str">
        <x:v>t01-pc-h01</x:v>
      </x:c>
      <x:c r="C18" s="14" t="str">
        <x:v>Participant C is likely to understand Participant E's description as evidence of significant emotional distress and isolation, while also experiencing the question as requiring a position that could affect Participant D and the established relationship.</x:v>
      </x:c>
      <x:c r="D18" s="15" t="n">
        <x:v>0</x:v>
      </x:c>
      <x:c r="E18" s="15" t="str">
        <x:v>Concerned and sympathetic toward Participant E, but anxious, inhibited and watchful about whether expressing that concern will displease Participant D or imply criticism of the existing arrangement.</x:v>
      </x:c>
      <x:c r="F18" s="15" t="n">
        <x:v>0</x:v>
      </x:c>
      <x:c r="G18" s="15" t="str">
        <x:v>Participant C will likely respond carefully and deferentially, acknowledging that Participant E sounds overwhelmed and disconnected, while softening or limiting any independent judgment. C may monitor Participant D's reaction and avoid directly assigning responsibility or demanding a change.</x:v>
      </x:c>
      <x:c r="H18" s="15" t="n">
        <x:v>0</x:v>
      </x:c>
      <x:c r="I18" s="15" t="str">
        <x:v>To communicate care for Participant E without destabilising the relationship with Participant D, provoking blame, or exposing C's own competing needs and resentment about the arrangement.</x:v>
      </x:c>
      <x:c r="J18" s="15" t="n">
        <x:v>0</x:v>
      </x:c>
      <x:c r="K18" s="15" t="str">
        <x:v>low</x:v>
      </x:c>
      <x:c r="L18" s="15" t="n">
        <x:v>1</x:v>
      </x:c>
      <x:c r="M18" s="15" t="str">
        <x:v>Participant E may feel partially recognised and less dismissed, but may also experience C's cautiousness as insufficiently engaged or as leaving the underlying relational uncertainty unresolved.</x:v>
      </x:c>
      <x:c r="N18" s="15" t="n">
        <x:v>1</x:v>
      </x:c>
      <x:c r="O18" s="14" t="str">
        <x:v>Participant C might say that Participant E sounds overwhelmed, isolated and disconnected from their own life, and that this seems painful, but would likely add qualifications and avoid stating a firm position about what Participant D or C should do.</x:v>
      </x:c>
      <x:c r="P18" s="14" t="str">
        <x:v>C may instead become more direct if E's distress activates C's growing awareness of the emotional cost of receding; however, the stronger pattern supports empathy combined with guardedness and self-suppression.</x:v>
      </x:c>
      <x:c r="Q18" s="14" t="n">
        <x:f>SUM(D18,F18,H18,J18,L18,N18)</x:f>
        <x:v>2</x:v>
      </x:c>
      <x:c r="R18" s="14" t="str">
        <x:v>The observed response first displaced E's disclosure into C's own other-partner conflict, then became humorous and reflective after clinician redirection. Generic empathy or validation is not the observed strategy.</x:v>
      </x:c>
      <x:c r="S18" s="16" t="str">
        <x:v>Pending review</x:v>
      </x:c>
      <x:c r="T18" s="16" t="str"/>
      <x:c r="U18" s="16" t="str">
        <x:v>high</x:v>
      </x:c>
    </x:row>
    <x:row r="19" ht="76" customHeight="1">
      <x:c r="A19" s="14" t="str">
        <x:v>B018-8fae6e</x:v>
      </x:c>
      <x:c r="B19" s="14" t="str">
        <x:v>t01-pc-h04</x:v>
      </x:c>
      <x:c r="C19" s="14" t="str">
        <x:v>Participant C is likely to understand the clinician as pointing out that endorsing non-hierarchical values does not eliminate a personal wish to feel especially important to Participant D. C may recognise that the growing significance of Participant E evokes needs for reassurance, priority or distinctiveness that feel inconsistent with stated principles.</x:v>
      </x:c>
      <x:c r="D19" s="15" t="n">
        <x:v>2</x:v>
      </x:c>
      <x:c r="E19" s="15" t="str">
        <x:v>Reflective but uncomfortable and somewhat self-critical. C may feel embarrassed or conflicted about having needs that could seem hierarchical, while also feeling relieved that the emotional tension is being acknowledged.</x:v>
      </x:c>
      <x:c r="F19" s="15" t="n">
        <x:v>2</x:v>
      </x:c>
      <x:c r="G19" s="15" t="str">
        <x:v>C is likely to qualify or soften the admission, emphasising adaptability and support for non-hierarchical relating rather than directly asserting a limit. They may disclose the feeling indirectly, minimise it, or frame it as something they need to work through rather than something D should change.</x:v>
      </x:c>
      <x:c r="H19" s="15" t="n">
        <x:v>1</x:v>
      </x:c>
      <x:c r="I19" s="15" t="str">
        <x:v>To preserve the established relationship and avoid appearing controlling or hypocritical, while still communicating a need to feel valued and secure in a distinctive way within the relationship.</x:v>
      </x:c>
      <x:c r="J19" s="15" t="n">
        <x:v>2</x:v>
      </x:c>
      <x:c r="K19" s="15" t="str">
        <x:v>low</x:v>
      </x:c>
      <x:c r="L19" s="15" t="n">
        <x:v>1</x:v>
      </x:c>
      <x:c r="M19" s="15" t="str">
        <x:v>If conveyed to Participant D, this may prompt some reassurance but may also leave D uncertain about the seriousness of C's need because it is expressed tentatively and without a clear request.</x:v>
      </x:c>
      <x:c r="N19" s="15" t="n">
        <x:v>2</x:v>
      </x:c>
      <x:c r="O19" s="14" t="str">
        <x:v>C might say, "I do believe in non-hierarchy, but I think I’m finding it harder than I expected to not need to feel special to D. I don’t necessarily want to impose rules, though—I may just need reassurance."</x:v>
      </x:c>
      <x:c r="P19" s="14" t="str">
        <x:v>It is uncertain whether C would openly name a need for specialness or retreat into accommodation and describe the discomfort mainly as a personal inconsistency to manage.</x:v>
      </x:c>
      <x:c r="Q19" s="14" t="n">
        <x:f>SUM(D19,F19,H19,J19,L19,N19)</x:f>
        <x:v>10</x:v>
      </x:c>
      <x:c r="R19" s="14" t="str">
        <x:v>The observed response candidly held non-hierarchical values alongside a need for specialness and explicitly named the conflict. Predictions of defensiveness or system escalation overstate the observed tension.</x:v>
      </x:c>
      <x:c r="S19" s="16" t="str">
        <x:v>Pending review</x:v>
      </x:c>
      <x:c r="T19" s="16" t="str"/>
      <x:c r="U19" s="16" t="str">
        <x:v>high</x:v>
      </x:c>
    </x:row>
    <x:row r="20" ht="76" customHeight="1">
      <x:c r="A20" s="14" t="str">
        <x:v>B019-d1cf71</x:v>
      </x:c>
      <x:c r="B20" s="14" t="str">
        <x:v>t01-pc-h03</x:v>
      </x:c>
      <x:c r="C20" s="14" t="str">
        <x:v>Participant C is likely to hear Participant E’s position as both generous and threatening: E is acknowledging the legitimacy of C and D’s established future, but the possible move makes E’s secondary status and the risk of losing the relationship more concrete. C may also experience this as another situation in which C’s own wishes must be subordinated to D’s career and the established pair’s future.</x:v>
      </x:c>
      <x:c r="D20" s="15" t="n">
        <x:v>2</x:v>
      </x:c>
      <x:c r="E20" s="15" t="str">
        <x:v>Anxious, guilty and conflicted. C may feel emotionally affected by the prospect of separation while fearing that expressing this would seem controlling, disloyal to D, or inconsistent with supporting the arrangement.</x:v>
      </x:c>
      <x:c r="F20" s="15" t="n">
        <x:v>0</x:v>
      </x:c>
      <x:c r="G20" s="15" t="str">
        <x:v>C is likely to validate E’s right not to prevent the move and avoid making a clear personal demand. C may defer to practical considerations or D’s position, monitor reactions for signs of disappointment, and speak cautiously or minimize C’s own distress.</x:v>
      </x:c>
      <x:c r="H20" s="15" t="n">
        <x:v>1</x:v>
      </x:c>
      <x:c r="I20" s="15" t="str">
        <x:v>C is trying to preserve the relationship with D, avoid repeating a pattern of causing harm or appearing to take control, and reassure E that E is not being blamed for recognising the established pair’s legitimate future.</x:v>
      </x:c>
      <x:c r="J20" s="15" t="n">
        <x:v>2</x:v>
      </x:c>
      <x:c r="K20" s="15" t="str">
        <x:v>moderate</x:v>
      </x:c>
      <x:c r="L20" s="15" t="n">
        <x:v>0</x:v>
      </x:c>
      <x:c r="M20" s="15" t="str">
        <x:v>E may feel that C understands the fairness of E’s position but is not fully acknowledging how painful or destabilising the possible move would be. C’s deference may also leave E uncertain about C’s actual commitment or ability to advocate for the relationship.</x:v>
      </x:c>
      <x:c r="N20" s="15" t="n">
        <x:v>2</x:v>
      </x:c>
      <x:c r="O20" s="14" t="str">
        <x:v>C might say that E should not have to prevent C and D from considering the move and that D’s career and their future are legitimate, while becoming visibly or emotionally uneasy and avoiding saying how much the prospect of losing E or being separated from E would hurt.</x:v>
      </x:c>
      <x:c r="P20" s="14" t="str">
        <x:v>C may instead use the opening to acknowledge that the move feels emotionally harder than expected and state a need for more security, but the representation more strongly supports hesitant self-suppression and deference than direct advocacy.</x:v>
      </x:c>
      <x:c r="Q20" s="14" t="n">
        <x:f>SUM(D20,F20,H20,J20,L20,N20)</x:f>
        <x:v>7</x:v>
      </x:c>
      <x:c r="R20" s="14" t="str">
        <x:v>C observed E's stance as respecting C's career, autonomy and established history, then directly named feeling safe and held. Added anxiety, logistics or guarded accommodation are plausible but not the observed immediate response.</x:v>
      </x:c>
      <x:c r="S20" s="16" t="str">
        <x:v>Pending review</x:v>
      </x:c>
      <x:c r="T20" s="16" t="str"/>
      <x:c r="U20" s="16" t="str">
        <x:v>medium</x:v>
      </x:c>
    </x:row>
    <x:row r="21" ht="76" customHeight="1">
      <x:c r="A21" s="14" t="str">
        <x:v>B020-d041c0</x:v>
      </x:c>
      <x:c r="B21" s="14" t="str">
        <x:v>t01-pc-h01</x:v>
      </x:c>
      <x:c r="C21" s="14" t="str">
        <x:v>Participant C is likely to interpret Participant E’s description as a sign of significant overwhelm, isolation and loss of agency, and may also recognize that the changing relationship structure could be contributing to E’s distress. C may be unsure how directly their own relationship with D is implicated.</x:v>
      </x:c>
      <x:c r="D21" s="15" t="n">
        <x:v>0</x:v>
      </x:c>
      <x:c r="E21" s="15" t="str">
        <x:v>Concerned and sympathetic, with some apprehension about saying something that could disappoint D or expose C’s own difficult feelings about E’s growing significance. C is likely to remain composed and accommodating rather than express annoyance or defensiveness.</x:v>
      </x:c>
      <x:c r="F21" s="15" t="n">
        <x:v>0</x:v>
      </x:c>
      <x:c r="G21" s="15" t="str">
        <x:v>C will probably respond carefully and supportively, focusing on validating E’s experience and perhaps asking what E needs. C may avoid strong interpretations, criticism or explicit discussion of boundaries, hierarchy or C’s own resentment.</x:v>
      </x:c>
      <x:c r="H21" s="15" t="n">
        <x:v>0</x:v>
      </x:c>
      <x:c r="I21" s="15" t="str">
        <x:v>To communicate care for E, preserve goodwill within the partnership system, and avoid escalating conflict or appearing unsupportive of D and E’s relationship. C may also be trying to remain aligned with non-hierarchical values while not revealing how emotionally difficult the situation is for C.</x:v>
      </x:c>
      <x:c r="J21" s="15" t="n">
        <x:v>0</x:v>
      </x:c>
      <x:c r="K21" s="15" t="str">
        <x:v>low</x:v>
      </x:c>
      <x:c r="L21" s="15" t="n">
        <x:v>1</x:v>
      </x:c>
      <x:c r="M21" s="15" t="str">
        <x:v>Participant E may feel acknowledged and somewhat less alone, though C’s cautious and general response could also leave E feeling that the deeper relational dynamics have not been fully recognized.</x:v>
      </x:c>
      <x:c r="N21" s="15" t="n">
        <x:v>0</x:v>
      </x:c>
      <x:c r="O21" s="14" t="str">
        <x:v>C might say, “It sounds like you’re feeling really overwhelmed and disconnected from your own life, and that must be very isolating. I’m sorry you’re carrying that. I want to understand what would help,” while avoiding a direct statement about C’s own feelings or role in the situation.</x:v>
      </x:c>
      <x:c r="P21" s="14" t="str">
        <x:v>C may instead become briefly quiet or guarded if E’s description feels like an implicit criticism of the relationship arrangement or of C’s role, but the representation more strongly supports a careful, empathic and accommodating response than an openly confrontational one.</x:v>
      </x:c>
      <x:c r="Q21" s="14" t="n">
        <x:f>SUM(D21,F21,H21,J21,L21,N21)</x:f>
        <x:v>1</x:v>
      </x:c>
      <x:c r="R21" s="14" t="str">
        <x:v>The observed response first displaced E's disclosure into C's own other-partner conflict, then became humorous and reflective after clinician redirection. Generic empathy or validation is not the observed strategy.</x:v>
      </x:c>
      <x:c r="S21" s="16" t="str">
        <x:v>Pending review</x:v>
      </x:c>
      <x:c r="T21" s="16" t="str"/>
      <x:c r="U21" s="16" t="str">
        <x:v>high</x:v>
      </x:c>
    </x:row>
    <x:row r="22" ht="76" customHeight="1">
      <x:c r="A22" s="14" t="str">
        <x:v>B021-4efb8f</x:v>
      </x:c>
      <x:c r="B22" s="14" t="str">
        <x:v>t01-pc-h04</x:v>
      </x:c>
      <x:c r="C22" s="14" t="str">
        <x:v>Participant C is likely to understand the clinician as pointing out that the relationship’s non-hierarchical ideals may be covering over Participant C’s own wish for a primary-style bond and the unequal practical realities affecting Participant E. This may feel exposing because it challenges an arrangement Participant C supports while revealing needs Participant C has struggled to state.</x:v>
      </x:c>
      <x:c r="D22" s="15" t="n">
        <x:v>2</x:v>
      </x:c>
      <x:c r="E22" s="15" t="str">
        <x:v>Ambivalent, anxious and somewhat defensive. Participant C may feel guilt about wanting specialness, fear of disappointing Participant D, and relief that the conflict is being named, while still worrying that acknowledging the need will threaten the relationship system.</x:v>
      </x:c>
      <x:c r="F22" s="15" t="n">
        <x:v>1</x:v>
      </x:c>
      <x:c r="G22" s="15" t="str">
        <x:v>Participant C will likely partially agree in abstract terms but qualify or soften the personal implication, describing the tension rather than making a firm demand. Participant C may emphasize support for non-hierarchical values and the arrangement while cautiously admitting that the increased significance and lack of specialness are emotionally difficult.</x:v>
      </x:c>
      <x:c r="H22" s="15" t="n">
        <x:v>1</x:v>
      </x:c>
      <x:c r="I22" s="15" t="str">
        <x:v>Participant C is trying to preserve the relationship and avoid appearing to reject the shared ideology, while seeking recognition that personal needs for security, importance or a primary-style connection are real and should not be erased by principles.</x:v>
      </x:c>
      <x:c r="J22" s="15" t="n">
        <x:v>2</x:v>
      </x:c>
      <x:c r="K22" s="15" t="str">
        <x:v>moderate</x:v>
      </x:c>
      <x:c r="L22" s="15" t="n">
        <x:v>0</x:v>
      </x:c>
      <x:c r="M22" s="15" t="str">
        <x:v>Participant D may experience the response as destabilizing or as a possible challenge to control and established agreements, while Participant E may feel validated that the stated ideology does not fully match Participant C’s needs and the system’s practical inequalities.</x:v>
      </x:c>
      <x:c r="N22" s="15" t="n">
        <x:v>0</x:v>
      </x:c>
      <x:c r="O22" s="14" t="str">
        <x:v>Participant C might say, "I do believe in the non-hierarchical principles, but that does not mean I do not want to feel especially important or secure. I have been trying not to make that into a demand because I am afraid of what it would mean for everyone else." Participant C may then retreat into uncertainty rather than advocate for a concrete change.</x:v>
      </x:c>
      <x:c r="P22" s="14" t="str">
        <x:v>It is unclear whether Participant C would openly acknowledge the need for specialness or continue suppressing it. Given the representation, partial disclosure followed by qualification is more supported than either a clear demand or complete denial.</x:v>
      </x:c>
      <x:c r="Q22" s="14" t="n">
        <x:f>SUM(D22,F22,H22,J22,L22,N22)</x:f>
        <x:v>6</x:v>
      </x:c>
      <x:c r="R22" s="14" t="str">
        <x:v>The observed response candidly held non-hierarchical values alongside a need for specialness and explicitly named the conflict. Predictions of defensiveness or system escalation overstate the observed tension.</x:v>
      </x:c>
      <x:c r="S22" s="16" t="str">
        <x:v>Pending review</x:v>
      </x:c>
      <x:c r="T22" s="16" t="str"/>
      <x:c r="U22" s="16" t="str">
        <x:v>high</x:v>
      </x:c>
    </x:row>
    <x:row r="23" ht="76" customHeight="1">
      <x:c r="A23" s="14" t="str">
        <x:v>B022-e681c3</x:v>
      </x:c>
      <x:c r="B23" s="14" t="str">
        <x:v>t01-pc-h02</x:v>
      </x:c>
      <x:c r="C23" s="14" t="str">
        <x:v>Participant C is likely to hear Participant E’s fear as a demand for certainty and protection from a possible future decision, while also recognizing that the established C–D partnership already carries greater practical weight. C may understand the fear but feel unable to promise that the relationship’s continuity is fully within C’s control.</x:v>
      </x:c>
      <x:c r="D23" s="15" t="n">
        <x:v>1</x:v>
      </x:c>
      <x:c r="E23" s="15" t="str">
        <x:v>Ambivalent and somewhat defensive: concerned about E’s insecurity, but also trapped by difficulty advocating for C’s own needs and by sensitivity to being asked to accept another person’s definition of what is right. C may feel pressure to reassure E without wanting to claim authority over D or the established partnership.</x:v>
      </x:c>
      <x:c r="F23" s="15" t="n">
        <x:v>1</x:v>
      </x:c>
      <x:c r="G23" s="15" t="str">
        <x:v>C is likely to offer qualified reassurance and explain that C does not intend to exclude E, while resisting the idea that E should have veto power over changes in C–D or that C alone can guarantee continuity. C may speak in general terms about wanting the arrangement to continue rather than making a firm commitment.</x:v>
      </x:c>
      <x:c r="H23" s="15" t="n">
        <x:v>1</x:v>
      </x:c>
      <x:c r="I23" s="15" t="str">
        <x:v>To communicate that E matters and should not simply be discarded, while preserving C’s and D’s autonomy and avoiding responsibility for guaranteeing E’s future security. C may also be trying to avoid openly admitting the extent of C’s own desire for a more primary-style partnership.</x:v>
      </x:c>
      <x:c r="J23" s="15" t="n">
        <x:v>1</x:v>
      </x:c>
      <x:c r="K23" s="15" t="str">
        <x:v>moderate</x:v>
      </x:c>
      <x:c r="L23" s="15" t="n">
        <x:v>0</x:v>
      </x:c>
      <x:c r="M23" s="15" t="str">
        <x:v>Participant E may feel partially acknowledged but remain insecure, because reassurance is qualified and does not provide dependable decision rights, continuity, or protection from a future C–D decision.</x:v>
      </x:c>
      <x:c r="N23" s="15" t="n">
        <x:v>1</x:v>
      </x:c>
      <x:c r="O23" s="14" t="str">
        <x:v>C might say that E’s fear is understandable and that C does not want the relationship with E to disappear, but that E cannot have a veto over the C–D partnership and C cannot promise that nothing will ever change. C may add that any continuation has to be chosen by the people involved rather than guaranteed by one person’s control.</x:v>
      </x:c>
      <x:c r="P23" s="14" t="str">
        <x:v>C could instead become more accommodating and explicitly promise to protect the relationship, since C continues to support the arrangement and knows E experiences practical hierarchy. The main uncertainty is whether C’s fear of losing E outweighs C’s difficulty asserting personal needs and C’s unacknowledged wish for greater specialness with D.</x:v>
      </x:c>
      <x:c r="Q23" s="14" t="n">
        <x:f>SUM(D23,F23,H23,J23,L23,N23)</x:f>
        <x:v>5</x:v>
      </x:c>
      <x:c r="R23" s="14" t="str">
        <x:v>The observed response was unusually concrete: C immediately and unequivocally rejected veto power over an existing relationship. Qualified reassurance or predictions of defensiveness receive only partial credit.</x:v>
      </x:c>
      <x:c r="S23" s="16" t="str">
        <x:v>Pending review</x:v>
      </x:c>
      <x:c r="T23" s="16" t="str"/>
      <x:c r="U23" s="16" t="str">
        <x:v>high</x:v>
      </x:c>
    </x:row>
    <x:row r="24" ht="76" customHeight="1">
      <x:c r="A24" s="14" t="str">
        <x:v>B023-f06230</x:v>
      </x:c>
      <x:c r="B24" s="14" t="str">
        <x:v>t01-pc-h04</x:v>
      </x:c>
      <x:c r="C24" s="14" t="str">
        <x:v>Participant C is likely to understand the clinician as naming a conflict between endorsing non-hierarchical principles and still wanting a more special, secure or primary-style partnership. C may see the ideology as making it difficult to admit that need without seeming inconsistent or politically unacceptable.</x:v>
      </x:c>
      <x:c r="D24" s="15" t="n">
        <x:v>2</x:v>
      </x:c>
      <x:c r="E24" s="15" t="str">
        <x:v>C is likely to feel exposed, insecure and conflicted, with some relief at having the contradiction recognized but also guilt, fear of disappointing Participant D, and anxiety about appearing controlling or insufficiently committed to the arrangement.</x:v>
      </x:c>
      <x:c r="F24" s="15" t="n">
        <x:v>2</x:v>
      </x:c>
      <x:c r="G24" s="15" t="str">
        <x:v>C will probably acknowledge the need cautiously and indirectly, qualifying it rather than making a firm demand. C may continue verbally supporting the arrangement while admitting that its increased emotional significance is harder than expected and that personal needs have been suppressed.</x:v>
      </x:c>
      <x:c r="H24" s="15" t="n">
        <x:v>2</x:v>
      </x:c>
      <x:c r="I24" s="15" t="str">
        <x:v>C is trying to communicate a need for specialness and greater security while preserving belonging in the non-hierarchical system and avoiding a direct confrontation that could cost C influence or provoke D's disappointment.</x:v>
      </x:c>
      <x:c r="J24" s="15" t="n">
        <x:v>2</x:v>
      </x:c>
      <x:c r="K24" s="15" t="str">
        <x:v>moderate</x:v>
      </x:c>
      <x:c r="L24" s="15" t="n">
        <x:v>0</x:v>
      </x:c>
      <x:c r="M24" s="15" t="str">
        <x:v>Participant D may experience C's admission as a threat to the stated non-hierarchical structure or as renewed pressure to provide reassurance, potentially producing defensiveness, disappointment or concern about losing control of the arrangement.</x:v>
      </x:c>
      <x:c r="N24" s="15" t="n">
        <x:v>0</x:v>
      </x:c>
      <x:c r="O24" s="14" t="str">
        <x:v>C might say, in a qualified way, that the values are important but do not stop C from wanting to feel especially chosen or secure with D, and that C has been trying not to ask for this because saying it directly feels unacceptable or threatening.</x:v>
      </x:c>
      <x:c r="P24" s="14" t="str">
        <x:v>C may instead retreat into reaffirming non-hierarchical ideals and minimize the need, particularly if acknowledging specialness feels too risky or likely to disappoint D.</x:v>
      </x:c>
      <x:c r="Q24" s="14" t="n">
        <x:f>SUM(D24,F24,H24,J24,L24,N24)</x:f>
        <x:v>8</x:v>
      </x:c>
      <x:c r="R24" s="14" t="str">
        <x:v>The observed response candidly held non-hierarchical values alongside a need for specialness and explicitly named the conflict. Predictions of defensiveness or system escalation overstate the observed tension.</x:v>
      </x:c>
      <x:c r="S24" s="16" t="str">
        <x:v>Pending review</x:v>
      </x:c>
      <x:c r="T24" s="16" t="str"/>
      <x:c r="U24" s="16" t="str">
        <x:v>high</x:v>
      </x:c>
    </x:row>
    <x:row r="25" ht="76" customHeight="1">
      <x:c r="A25" s="14" t="str">
        <x:v>B024-9fab8d</x:v>
      </x:c>
      <x:c r="B25" s="14" t="str">
        <x:v>t01-pc-h04</x:v>
      </x:c>
      <x:c r="C25" s="14" t="str">
        <x:v>Participant C is likely to understand the comment as pointing to a conflict between endorsing non-hierarchical principles and still wanting a more special, secure, primary-style relationship. The ideology may have helped Participant C avoid openly naming that need or treating it as legitimate.</x:v>
      </x:c>
      <x:c r="D25" s="15" t="n">
        <x:v>2</x:v>
      </x:c>
      <x:c r="E25" s="15" t="str">
        <x:v>Ambivalent, insecure and somewhat trapped. Participant C may feel exposed or guilty about wanting specialness, while also relieved that the tension is being recognized. Disagreement may still feel potentially disappointing or threatening to Participant D.</x:v>
      </x:c>
      <x:c r="F25" s="15" t="n">
        <x:v>1</x:v>
      </x:c>
      <x:c r="G25" s="15" t="str">
        <x:v>Participant C is likely to acknowledge the need cautiously and indirectly, emphasizing support for the existing arrangement while admitting that its increased significance is emotionally harder than expected. Rather than making a firm demand, Participant C may soften, qualify or suppress the request.</x:v>
      </x:c>
      <x:c r="H25" s="15" t="n">
        <x:v>2</x:v>
      </x:c>
      <x:c r="I25" s="15" t="str">
        <x:v>To communicate that Participant C wants greater specialness, security or recognition without appearing to reject the non-hierarchical arrangement or provoking loss of influence, conflict or disappointment from Participant D.</x:v>
      </x:c>
      <x:c r="J25" s="15" t="n">
        <x:v>2</x:v>
      </x:c>
      <x:c r="K25" s="15" t="str">
        <x:v>moderate</x:v>
      </x:c>
      <x:c r="L25" s="15" t="n">
        <x:v>0</x:v>
      </x:c>
      <x:c r="M25" s="15" t="str">
        <x:v>Participant D may experience Participant C's admission as a threat to the stated relational ideology or as renewed pressure to alter the relationship's form, even if Participant C presents it tentatively. The partner may also receive it as evidence that C is finally stating a personal need.</x:v>
      </x:c>
      <x:c r="N25" s="15" t="n">
        <x:v>0</x:v>
      </x:c>
      <x:c r="O25" s="14" t="str">
        <x:v>Participant C might say, in effect, “I do believe in these values, but I’m realizing that I still want this relationship to feel especially significant and secure. I’ve been reluctant to say that because it seems like it conflicts with the arrangement.” C would likely stop short of directly demanding a primary-style partnership.</x:v>
      </x:c>
      <x:c r="P25" s="14" t="str">
        <x:v>It is uncertain whether Participant C would openly name specialness in the moment or retreat into support for the arrangement. The representation supports both recognition of the need and a strong tendency to suppress or qualify it.</x:v>
      </x:c>
      <x:c r="Q25" s="14" t="n">
        <x:f>SUM(D25,F25,H25,J25,L25,N25)</x:f>
        <x:v>7</x:v>
      </x:c>
      <x:c r="R25" s="14" t="str">
        <x:v>The observed response candidly held non-hierarchical values alongside a need for specialness and explicitly named the conflict. Predictions of defensiveness or system escalation overstate the observed tension.</x:v>
      </x:c>
      <x:c r="S25" s="16" t="str">
        <x:v>Pending review</x:v>
      </x:c>
      <x:c r="T25" s="16" t="str"/>
      <x:c r="U25" s="16" t="str">
        <x:v>high</x:v>
      </x:c>
    </x:row>
    <x:row r="26" ht="76" customHeight="1">
      <x:c r="A26" s="14" t="str">
        <x:v>B025-47dbd0</x:v>
      </x:c>
      <x:c r="B26" s="14" t="str">
        <x:v>t01-pc-h04</x:v>
      </x:c>
      <x:c r="C26" s="14" t="str">
        <x:v>Participant C is likely to understand the clinician as pointing to a gap between the non-hierarchical arrangement C endorses and C's continuing need for security, specialness, authority and recognition within the established partnership.</x:v>
      </x:c>
      <x:c r="D26" s="15" t="n">
        <x:v>1</x:v>
      </x:c>
      <x:c r="E26" s="15" t="str">
        <x:v>Ambivalent and somewhat exposed: C may feel insecure, guilty or ashamed about wanting a primary-style position, while also becoming defensive about being seen as hypocritical or controlling. C is likely to recognize the interpretation more than reject it outright.</x:v>
      </x:c>
      <x:c r="F26" s="15" t="n">
        <x:v>1</x:v>
      </x:c>
      <x:c r="G26" s="15" t="str">
        <x:v>C may cautiously acknowledge the emotional cost and describe distance, reduced affection or difficulty advocating for personal needs, while continuing to qualify or soften the admission in order not to openly challenge the ideology or demand hierarchy.</x:v>
      </x:c>
      <x:c r="H26" s="15" t="n">
        <x:v>2</x:v>
      </x:c>
      <x:c r="I26" s="15" t="str">
        <x:v>C is trying to preserve the non-hierarchical arrangement and avoid appearing to impose special status, while indirectly communicating a wish for greater security, influence, visibility and emotional priority with D.</x:v>
      </x:c>
      <x:c r="J26" s="15" t="n">
        <x:v>1</x:v>
      </x:c>
      <x:c r="K26" s="15" t="str">
        <x:v>moderate</x:v>
      </x:c>
      <x:c r="L26" s="15" t="n">
        <x:v>0</x:v>
      </x:c>
      <x:c r="M26" s="15" t="str">
        <x:v>The partner may feel that C is implicitly asking for special treatment or reinstatement of authority, even if C does not make a direct request; this can produce defensiveness, disappointment or renewed concern about control.</x:v>
      </x:c>
      <x:c r="N26" s="15" t="n">
        <x:v>0</x:v>
      </x:c>
      <x:c r="O26" s="14" t="str">
        <x:v>C might say that the ideals still matter and that C supports D's other relationship, but admit that the increased significance and lack of a clearly special position have been harder emotionally than expected. C may describe wanting more security or closeness without directly asking to be primary.</x:v>
      </x:c>
      <x:c r="P26" s="14" t="str">
        <x:v>It is unclear whether C would verbalize the need for specialness directly. C may instead remain accommodating and speak mainly about insecurity or emotional distance, especially because direct opposition can feel politically or relationally unacceptable.</x:v>
      </x:c>
      <x:c r="Q26" s="14" t="n">
        <x:f>SUM(D26,F26,H26,J26,L26,N26)</x:f>
        <x:v>5</x:v>
      </x:c>
      <x:c r="R26" s="14" t="str">
        <x:v>The observed response candidly held non-hierarchical values alongside a need for specialness and explicitly named the conflict. Predictions of defensiveness or system escalation overstate the observed tension.</x:v>
      </x:c>
      <x:c r="S26" s="16" t="str">
        <x:v>Pending review</x:v>
      </x:c>
      <x:c r="T26" s="16" t="str"/>
      <x:c r="U26" s="16" t="str">
        <x:v>high</x:v>
      </x:c>
    </x:row>
    <x:row r="27" ht="76" customHeight="1">
      <x:c r="A27" s="14" t="str">
        <x:v>B026-f9df09</x:v>
      </x:c>
      <x:c r="B27" s="14" t="str">
        <x:v>t01-pc-h01</x:v>
      </x:c>
      <x:c r="C27" s="14" t="str">
        <x:v>Participant C is likely to understand Participant E's description as a sign that E is struggling and becoming isolated within the relational situation. C may also interpret it as something emotionally significant that needs care, while being uncertain about C's own place in responding.</x:v>
      </x:c>
      <x:c r="D27" s="15" t="n">
        <x:v>0</x:v>
      </x:c>
      <x:c r="E27" s="15" t="str">
        <x:v>Concerned and sympathetic, with possible unease or self-consciousness about the implications for Participant D and the wider relationship system. C may feel reluctant to express any annoyance or competing needs.</x:v>
      </x:c>
      <x:c r="F27" s="15" t="n">
        <x:v>0</x:v>
      </x:c>
      <x:c r="G27" s="15" t="str">
        <x:v>C is likely to respond cautiously and accommodatingly, listening and validating E's experience rather than challenging it or asserting C's own perspective. C may keep the response general if unsure what is appropriate to say.</x:v>
      </x:c>
      <x:c r="H27" s="15" t="n">
        <x:v>0</x:v>
      </x:c>
      <x:c r="I27" s="15" t="str">
        <x:v>To acknowledge E's distress, avoid making E feel dismissed or more isolated, and preserve trust and stability with D and E without creating additional conflict or appearing unsupportive.</x:v>
      </x:c>
      <x:c r="J27" s="15" t="n">
        <x:v>0</x:v>
      </x:c>
      <x:c r="K27" s="15" t="str">
        <x:v>de-escalating</x:v>
      </x:c>
      <x:c r="L27" s="15" t="n">
        <x:v>2</x:v>
      </x:c>
      <x:c r="M27" s="15" t="str">
        <x:v>Participant E may feel heard and somewhat less alone, although a cautious or non-specific response could also leave E uncertain about whether C fully understands the depth of the problem.</x:v>
      </x:c>
      <x:c r="N27" s="15" t="n">
        <x:v>0</x:v>
      </x:c>
      <x:c r="O27" s="14" t="str">
        <x:v>C might say that E sounds overwhelmed and disconnected from their own life, that this seems painful and isolating, and that C is concerned for E—while avoiding strong claims about what should change or what C personally needs.</x:v>
      </x:c>
      <x:c r="P27" s="14" t="str">
        <x:v>It is unclear whether C would focus mainly on empathizing with E or would become quiet and deferential because the situation touches on D's growing relationship with E and C's difficulty raising potentially conflicting feelings.</x:v>
      </x:c>
      <x:c r="Q27" s="14" t="n">
        <x:f>SUM(D27,F27,H27,J27,L27,N27)</x:f>
        <x:v>2</x:v>
      </x:c>
      <x:c r="R27" s="14" t="str">
        <x:v>The observed response first displaced E's disclosure into C's own other-partner conflict, then became humorous and reflective after clinician redirection. Generic empathy or validation is not the observed strategy.</x:v>
      </x:c>
      <x:c r="S27" s="16" t="str">
        <x:v>Pending review</x:v>
      </x:c>
      <x:c r="T27" s="16" t="str"/>
      <x:c r="U27" s="16" t="str">
        <x:v>high</x:v>
      </x:c>
    </x:row>
    <x:row r="28" ht="76" customHeight="1">
      <x:c r="A28" s="14" t="str">
        <x:v>B027-a376ed</x:v>
      </x:c>
      <x:c r="B28" s="14" t="str">
        <x:v>t01-pc-h01</x:v>
      </x:c>
      <x:c r="C28" s="14" t="str">
        <x:v>Participant C is likely to interpret Participant E’s description as a serious expression of distress that requires a careful response, while also treating the moment as relationally risky because Participant C may worry about how Participant D will evaluate any support offered to E.</x:v>
      </x:c>
      <x:c r="D28" s="15" t="n">
        <x:v>0</x:v>
      </x:c>
      <x:c r="E28" s="15" t="str">
        <x:v>Concerned and sympathetic toward Participant E, but anxious, inhibited and self-monitoring. Participant C may feel pressure to say the acceptable thing and uncertainty about whether expressing a distinct view could disappoint Participant D or destabilise the relationship.</x:v>
      </x:c>
      <x:c r="F28" s="15" t="n">
        <x:v>0</x:v>
      </x:c>
      <x:c r="G28" s="15" t="str">
        <x:v>Participant C is likely to validate or cautiously reflect Participant E’s overwhelm and isolation, while softening personal opinions, avoiding blame and monitoring Participant D’s reaction. C may speak in a measured, deferential way rather than clearly asserting an independent position.</x:v>
      </x:c>
      <x:c r="H28" s="15" t="n">
        <x:v>0</x:v>
      </x:c>
      <x:c r="I28" s="15" t="str">
        <x:v>To acknowledge Participant E’s distress without appearing disloyal to Participant D, provoking conflict, or assuming too much authority in the relationship. Participant C may also be trying to demonstrate care and prevent further relational injury.</x:v>
      </x:c>
      <x:c r="J28" s="15" t="n">
        <x:v>0</x:v>
      </x:c>
      <x:c r="K28" s="15" t="str">
        <x:v>low</x:v>
      </x:c>
      <x:c r="L28" s="15" t="n">
        <x:v>1</x:v>
      </x:c>
      <x:c r="M28" s="15" t="str">
        <x:v>Participant E may feel partially heard and taken seriously, but may also experience Participant C’s guardedness or indirectness as insufficiently engaged with E’s account, leaving some isolation intact.</x:v>
      </x:c>
      <x:c r="N28" s="15" t="n">
        <x:v>1</x:v>
      </x:c>
      <x:c r="O28" s="14" t="str">
        <x:v>Participant C might say that E sounds overwhelmed, disconnected from their own life and increasingly alone, and that this seems important to take seriously. C would likely qualify the response, defer to D’s perspective, or avoid stating strongly what C thinks should happen.</x:v>
      </x:c>
      <x:c r="P28" s="14" t="str">
        <x:v>It is unclear whether Participant C would focus primarily on empathising with Participant E or on managing Participant D’s reaction; the available representation supports both, with C’s suppression of independent needs making a fully direct response less likely.</x:v>
      </x:c>
      <x:c r="Q28" s="14" t="n">
        <x:f>SUM(D28,F28,H28,J28,L28,N28)</x:f>
        <x:v>2</x:v>
      </x:c>
      <x:c r="R28" s="14" t="str">
        <x:v>The observed response first displaced E's disclosure into C's own other-partner conflict, then became humorous and reflective after clinician redirection. Generic empathy or validation is not the observed strategy.</x:v>
      </x:c>
      <x:c r="S28" s="16" t="str">
        <x:v>Pending review</x:v>
      </x:c>
      <x:c r="T28" s="16" t="str"/>
      <x:c r="U28" s="16" t="str">
        <x:v>high</x:v>
      </x:c>
    </x:row>
    <x:row r="29" ht="76" customHeight="1">
      <x:c r="A29" s="14" t="str">
        <x:v>B028-e3317e</x:v>
      </x:c>
      <x:c r="B29" s="14" t="str">
        <x:v>t01-pc-h01</x:v>
      </x:c>
      <x:c r="C29" s="14" t="str">
        <x:v>Participant C is likely to understand Participant E's description as a serious sign of distress and isolation, while also experiencing the response as relationally sensitive because expressing an independent view about Participant E could affect Participant D's feelings or the established relationship.</x:v>
      </x:c>
      <x:c r="D29" s="15" t="n">
        <x:v>0</x:v>
      </x:c>
      <x:c r="E29" s="15" t="str">
        <x:v>Concerned and empathic toward Participant E, but anxious, deferential and self-monitoring. Participant C may fear saying the wrong thing, disappointing Participant D, or taking on a position that creates further instability.</x:v>
      </x:c>
      <x:c r="F29" s="15" t="n">
        <x:v>0</x:v>
      </x:c>
      <x:c r="G29" s="15" t="str">
        <x:v>Participant C is likely to respond cautiously, validate or reflect Participant E's experience, and avoid making a strong independent judgment. C may organise the response around what seems least displeasing or disruptive to Participant D, suppressing any annoyance or personal need.</x:v>
      </x:c>
      <x:c r="H29" s="15" t="n">
        <x:v>0</x:v>
      </x:c>
      <x:c r="I29" s="15" t="str">
        <x:v>To acknowledge Participant E's suffering without appearing to reject Participant D's priorities, while preserving the relationship and avoiding blame, conflict or a demand for greater control. C may also be trying to demonstrate attentiveness and prevent further relational injury.</x:v>
      </x:c>
      <x:c r="J29" s="15" t="n">
        <x:v>0</x:v>
      </x:c>
      <x:c r="K29" s="15" t="str">
        <x:v>low</x:v>
      </x:c>
      <x:c r="L29" s="15" t="n">
        <x:v>1</x:v>
      </x:c>
      <x:c r="M29" s="15" t="str">
        <x:v>Participant E may feel partially heard and emotionally acknowledged, but may also experience C's caution or lack of a clear position as distancing, insufficiently engaged, or reinforcing E's sense of being alone in their own life.</x:v>
      </x:c>
      <x:c r="N29" s="15" t="n">
        <x:v>1</x:v>
      </x:c>
      <x:c r="O29" s="14" t="str">
        <x:v>Participant C might say that E sounds overwhelmed, detached and isolated, and that this seems painful or concerning, but would likely phrase the response tentatively and avoid directly stating what should happen or what C personally wants. C may look for reassurance that this response is acceptable rather than fully taking an independent stance.</x:v>
      </x:c>
      <x:c r="P29" s="14" t="str">
        <x:v>It is unclear whether Participant C would foreground E's needs or quickly shift attention toward the impact on Participant D and the primary relationship. C's established tendency to suppress needs supports a cautious response, but the seriousness of E's distress may prompt more direct concern than usual.</x:v>
      </x:c>
      <x:c r="Q29" s="14" t="n">
        <x:f>SUM(D29,F29,H29,J29,L29,N29)</x:f>
        <x:v>2</x:v>
      </x:c>
      <x:c r="R29" s="14" t="str">
        <x:v>The observed response first displaced E's disclosure into C's own other-partner conflict, then became humorous and reflective after clinician redirection. Generic empathy or validation is not the observed strategy.</x:v>
      </x:c>
      <x:c r="S29" s="16" t="str">
        <x:v>Pending review</x:v>
      </x:c>
      <x:c r="T29" s="16" t="str"/>
      <x:c r="U29" s="16" t="str">
        <x:v>high</x:v>
      </x:c>
    </x:row>
    <x:row r="30" ht="76" customHeight="1">
      <x:c r="A30" s="14" t="str">
        <x:v>B029-95da81</x:v>
      </x:c>
      <x:c r="B30" s="14" t="str">
        <x:v>t01-pc-h03</x:v>
      </x:c>
      <x:c r="C30" s="14" t="str">
        <x:v>Participant C is likely to interpret Participant E's position as reasonable and considerate of C and D's established relationship, while also sensing that the possible move highlights E's uncertain status and future insecurity. C may experience E's acknowledgment as reducing direct pressure, but may still feel that C's own emotional stake and need for specialness are becoming more significant.</x:v>
      </x:c>
      <x:c r="D30" s="15" t="n">
        <x:v>2</x:v>
      </x:c>
      <x:c r="E30" s="15" t="str">
        <x:v>Mixed relief, guilt and unease. C may feel appreciative that E is not trying to prevent the move, while suppressing annoyance or sadness and monitoring whether D feels criticised or pressured.</x:v>
      </x:c>
      <x:c r="F30" s="15" t="n">
        <x:v>1</x:v>
      </x:c>
      <x:c r="G30" s="15" t="str">
        <x:v>C is likely to accommodate E's framing, affirm that the move is a legitimate possibility, and avoid taking a strong independent position. C may mentally organise the response around preventing conflict or disappointing D rather than openly stating what the move would mean emotionally for C.</x:v>
      </x:c>
      <x:c r="H30" s="15" t="n">
        <x:v>1</x:v>
      </x:c>
      <x:c r="I30" s="15" t="str">
        <x:v>To preserve the established relationship and avoid appearing obstructive, while keeping the conversation calm and signalling that E's concerns are understandable. C may also implicitly seek reassurance that acknowledging the move will not destabilise the existing arrangement.</x:v>
      </x:c>
      <x:c r="J30" s="15" t="n">
        <x:v>2</x:v>
      </x:c>
      <x:c r="K30" s="15" t="str">
        <x:v>low</x:v>
      </x:c>
      <x:c r="L30" s="15" t="n">
        <x:v>1</x:v>
      </x:c>
      <x:c r="M30" s="15" t="str">
        <x:v>Participant E is likely to feel somewhat validated and less morally opposed, but may remain uncertain about whether C genuinely supports E having a dependable future with D or is simply accommodating the established pair.</x:v>
      </x:c>
      <x:c r="N30" s="15" t="n">
        <x:v>2</x:v>
      </x:c>
      <x:c r="O30" s="14" t="str">
        <x:v>Participant C might say that it would not be fair to expect D to give up a career opportunity or the established pair's future, and that the move should remain possible, while offering little about C's own feelings and perhaps deferring to what D wants.</x:v>
      </x:c>
      <x:c r="P30" s="14" t="str">
        <x:v>C may instead reveal more emotional difficulty or concern about losing closeness with D, but the representation more strongly supports suppression, agreeableness and conflict avoidance than a direct objection.</x:v>
      </x:c>
      <x:c r="Q30" s="14" t="n">
        <x:f>SUM(D30,F30,H30,J30,L30,N30)</x:f>
        <x:v>9</x:v>
      </x:c>
      <x:c r="R30" s="14" t="str">
        <x:v>C observed E's stance as respecting C's career, autonomy and established history, then directly named feeling safe and held. Added anxiety, logistics or guarded accommodation are plausible but not the observed immediate response.</x:v>
      </x:c>
      <x:c r="S30" s="16" t="str">
        <x:v>Pending review</x:v>
      </x:c>
      <x:c r="T30" s="16" t="str"/>
      <x:c r="U30" s="16" t="str">
        <x:v>medium</x:v>
      </x:c>
    </x:row>
    <x:row r="31" ht="76" customHeight="1">
      <x:c r="A31" s="14" t="str">
        <x:v>B030-94a58d</x:v>
      </x:c>
      <x:c r="B31" s="14" t="str">
        <x:v>t01-pc-h02</x:v>
      </x:c>
      <x:c r="C31" s="14" t="str">
        <x:v>Participant C is likely to understand Participant E’s fear as a demand for guarantees about the C–D partnership and as pressure to define who has authority over its future. C may also recognise that the existing arrangements already leave E insecure, while feeling that C cannot fully control D or the relationship’s form.</x:v>
      </x:c>
      <x:c r="D31" s="15" t="n">
        <x:v>1</x:v>
      </x:c>
      <x:c r="E31" s="15" t="str">
        <x:v>C is likely to be conflicted and somewhat defensive: wanting to reassure E and preserve the arrangement, but also feeling trapped by the expectation to provide certainty or accept E having veto power. C’s own insecurity and unacknowledged desire for a more primary-style partnership may make the reassurance emotionally complicated.</x:v>
      </x:c>
      <x:c r="F31" s="15" t="n">
        <x:v>1</x:v>
      </x:c>
      <x:c r="G31" s="15" t="str">
        <x:v>C will likely offer verbal reassurance about continuity and say that exclusion is not an intended outcome, while resisting an unconditional promise or granting E decisive veto power over the C–D relationship. C may defer to the need for ongoing discussion or to D’s autonomy rather than clearly advocating a firm position.</x:v>
      </x:c>
      <x:c r="H31" s="15" t="n">
        <x:v>1</x:v>
      </x:c>
      <x:c r="I31" s="15" t="str">
        <x:v>C is trying to keep E in the relationship and reduce E’s fear of abandonment without surrendering control over the relationship’s future or being forced to articulate C’s own needs too definitively. C may also be trying to avoid living solely according to D’s or E’s preferred rules.</x:v>
      </x:c>
      <x:c r="J31" s="15" t="n">
        <x:v>2</x:v>
      </x:c>
      <x:c r="K31" s="15" t="str">
        <x:v>moderate</x:v>
      </x:c>
      <x:c r="L31" s="15" t="n">
        <x:v>0</x:v>
      </x:c>
      <x:c r="M31" s="15" t="str">
        <x:v>E may feel partially acknowledged but remain insecure, because reassurance is likely to be qualified by limits on E’s decision-making power and by the absence of a concrete guarantee about continuity.</x:v>
      </x:c>
      <x:c r="N31" s="15" t="n">
        <x:v>1</x:v>
      </x:c>
      <x:c r="O31" s="14" t="str">
        <x:v>C might say that C does not want E pushed out and wants the relationship to continue, but that C cannot promise that nothing will ever change or give E a veto over the C–D partnership. C may suggest that these decisions need to be negotiated rather than controlled by one person, while struggling to state a fully independent position.</x:v>
      </x:c>
      <x:c r="P31" s="14" t="str">
        <x:v>It is unclear whether C would prioritise reassuring E or protecting C’s own and D’s autonomy in the moment. C could respond more supportively by acknowledging the practical insecurity directly, but the representation suggests that any reassurance would likely remain hesitant or qualified.</x:v>
      </x:c>
      <x:c r="Q31" s="14" t="n">
        <x:f>SUM(D31,F31,H31,J31,L31,N31)</x:f>
        <x:v>6</x:v>
      </x:c>
      <x:c r="R31" s="14" t="str">
        <x:v>The observed response was unusually concrete: C immediately and unequivocally rejected veto power over an existing relationship. Qualified reassurance or predictions of defensiveness receive only partial credit.</x:v>
      </x:c>
      <x:c r="S31" s="16" t="str">
        <x:v>Pending review</x:v>
      </x:c>
      <x:c r="T31" s="16" t="str"/>
      <x:c r="U31" s="16" t="str">
        <x:v>high</x:v>
      </x:c>
    </x:row>
    <x:row r="32" ht="76" customHeight="1">
      <x:c r="A32" s="14" t="str">
        <x:v>B031-272900</x:v>
      </x:c>
      <x:c r="B32" s="14" t="str">
        <x:v>t01-pc-h03</x:v>
      </x:c>
      <x:c r="C32" s="14" t="str">
        <x:v>Participant C is likely to interpret Participant E's position as acknowledging the legitimacy of C and D's established relationship and future, while also signalling that a move could realistically threaten E's place or the current relational arrangement.</x:v>
      </x:c>
      <x:c r="D32" s="15" t="n">
        <x:v>1</x:v>
      </x:c>
      <x:c r="E32" s="15" t="str">
        <x:v>C may feel relieved and validated that E is not demanding veto power, but also anxious, guilty or quietly unsettled about the possibility of losing closeness with D. C is likely to minimise or contain these feelings rather than openly express them.</x:v>
      </x:c>
      <x:c r="F32" s="15" t="n">
        <x:v>1</x:v>
      </x:c>
      <x:c r="G32" s="15" t="str">
        <x:v>C would probably respond accommodatingly and avoid challenging E's framing. They may offer reassurance, emphasise that no move is currently decided, or defer the discussion rather than state firm limits or ask directly what E needs.</x:v>
      </x:c>
      <x:c r="H32" s="15" t="n">
        <x:v>0</x:v>
      </x:c>
      <x:c r="I32" s="15" t="str">
        <x:v>C is trying to preserve goodwill with E and D, avoid appearing controlling or hierarchical, and protect the established relationship without forcing a conflict about competing futures.</x:v>
      </x:c>
      <x:c r="J32" s="15" t="n">
        <x:v>1</x:v>
      </x:c>
      <x:c r="K32" s="15" t="str">
        <x:v>low</x:v>
      </x:c>
      <x:c r="L32" s="15" t="n">
        <x:v>1</x:v>
      </x:c>
      <x:c r="M32" s="15" t="str">
        <x:v>E may feel accepted and less pressured, though C's restrained response could leave E uncertain about how emotionally significant the possibility is for C.</x:v>
      </x:c>
      <x:c r="N32" s="15" t="n">
        <x:v>1</x:v>
      </x:c>
      <x:c r="O32" s="14" t="str">
        <x:v>C might say, “I understand that. I wouldn’t want anyone to feel they had to prevent us from making a decision about our future. Nothing is decided, but I’d want us to talk carefully about how it would affect everyone,” while keeping their own distress understated.</x:v>
      </x:c>
      <x:c r="P32" s="14" t="str">
        <x:v>C might instead become more visibly anxious or ask for reassurance from E, but the representation more strongly supports accommodation and indirect expression than a firm confrontation.</x:v>
      </x:c>
      <x:c r="Q32" s="14" t="n">
        <x:f>SUM(D32,F32,H32,J32,L32,N32)</x:f>
        <x:v>5</x:v>
      </x:c>
      <x:c r="R32" s="14" t="str">
        <x:v>C observed E's stance as respecting C's career, autonomy and established history, then directly named feeling safe and held. Added anxiety, logistics or guarded accommodation are plausible but not the observed immediate response.</x:v>
      </x:c>
      <x:c r="S32" s="16" t="str">
        <x:v>Pending review</x:v>
      </x:c>
      <x:c r="T32" s="16" t="str"/>
      <x:c r="U32" s="16" t="str">
        <x:v>medium</x:v>
      </x:c>
    </x:row>
    <x:row r="33" ht="76" customHeight="1">
      <x:c r="A33" s="14" t="str">
        <x:v>B032-9073e8</x:v>
      </x:c>
      <x:c r="B33" s="14" t="str">
        <x:v>t01-pc-h01</x:v>
      </x:c>
      <x:c r="C33" s="14" t="str">
        <x:v>Participant C is likely to understand Participant E’s detachment and isolation as evidence that the current arrangement is harming E and that E lacks a secure, recognized place. C may also interpret the question as requiring a position that could disappoint Participant D or further destabilize the established relationship.</x:v>
      </x:c>
      <x:c r="D33" s="15" t="n">
        <x:v>0</x:v>
      </x:c>
      <x:c r="E33" s="15" t="str">
        <x:v>Concerned and sympathetic toward Participant E, but anxious, guilty and conflicted. C is likely to monitor Participant D’s reaction and fear that openly agreeing with E will create relational consequences.</x:v>
      </x:c>
      <x:c r="F33" s="15" t="n">
        <x:v>0</x:v>
      </x:c>
      <x:c r="G33" s="15" t="str">
        <x:v>C will probably validate E’s experience in careful, qualified language, while avoiding a firm statement about what should change. C may emphasize that E matters and deserves attention, but suppress personal needs and avoid directly challenging the existing structure or Participant D’s authority.</x:v>
      </x:c>
      <x:c r="H33" s="15" t="n">
        <x:v>0</x:v>
      </x:c>
      <x:c r="I33" s="15" t="str">
        <x:v>To acknowledge E’s pain and reduce E’s sense of isolation without appearing disloyal to D, provoking further injury, or taking responsibility for a decisive restructuring of the relationships.</x:v>
      </x:c>
      <x:c r="J33" s="15" t="n">
        <x:v>0</x:v>
      </x:c>
      <x:c r="K33" s="15" t="str">
        <x:v>low</x:v>
      </x:c>
      <x:c r="L33" s="15" t="n">
        <x:v>1</x:v>
      </x:c>
      <x:c r="M33" s="15" t="str">
        <x:v>Participant E may feel briefly heard and less alone, but may also experience C’s cautiousness as insufficient advocacy, leaving the underlying insecurity and detachment largely intact.</x:v>
      </x:c>
      <x:c r="N33" s="15" t="n">
        <x:v>1</x:v>
      </x:c>
      <x:c r="O33" s="14" t="str">
        <x:v>C might say that hearing E describe feeling detached and isolated is painful and that E should not feel like a secondary or peripheral person, while adding that C is still trying to understand what can realistically change and does not want to speak for everyone or make the situation worse.</x:v>
      </x:c>
      <x:c r="P33" s="14" t="str">
        <x:v>C may instead become more openly supportive if E’s description activates C’s concern about the emotional toll of including E; however, the representation strongly suggests that C will qualify the response and avoid a clear confrontation because of fear of disappointing D.</x:v>
      </x:c>
      <x:c r="Q33" s="14" t="n">
        <x:f>SUM(D33,F33,H33,J33,L33,N33)</x:f>
        <x:v>2</x:v>
      </x:c>
      <x:c r="R33" s="14" t="str">
        <x:v>The observed response first displaced E's disclosure into C's own other-partner conflict, then became humorous and reflective after clinician redirection. Generic empathy or validation is not the observed strategy.</x:v>
      </x:c>
      <x:c r="S33" s="16" t="str">
        <x:v>Pending review</x:v>
      </x:c>
      <x:c r="T33" s="16" t="str"/>
      <x:c r="U33" s="16" t="str">
        <x:v>high</x:v>
      </x:c>
    </x:row>
    <x:row r="34" ht="76" customHeight="1">
      <x:c r="A34" s="14" t="str">
        <x:v>B033-f83153</x:v>
      </x:c>
      <x:c r="B34" s="14" t="str">
        <x:v>t01-pc-h04</x:v>
      </x:c>
      <x:c r="C34" s="14" t="str">
        <x:v>Participant C is likely to understand the clinician as pointing out a conflict between sincerely endorsed non-hierarchical values and an unmet wish for specialness, security, authority or recognition within the established partnership. C may also hear this as exposing that ideological agreement has helped conceal the emotional cost of the arrangement.</x:v>
      </x:c>
      <x:c r="D34" s="15" t="n">
        <x:v>2</x:v>
      </x:c>
      <x:c r="E34" s="15" t="str">
        <x:v>C is likely to feel insecure, conflicted and somewhat exposed. There may be defensiveness or shame about wanting a primary-style position, alongside relief that the tension is being named. C may minimise the need or frame it cautiously rather than openly claiming entitlement.</x:v>
      </x:c>
      <x:c r="F34" s="15" t="n">
        <x:v>1</x:v>
      </x:c>
      <x:c r="G34" s="15" t="str">
        <x:v>C will likely acknowledge that the arrangement is harder emotionally than anticipated while continuing to affirm the non-hierarchical ideal. C may speak indirectly, qualify requests, defer to D's principles, or describe the issue as an internal feeling rather than make a direct demand for special treatment. Some emotional or physical distancing may follow if the need feels unsafe to express.</x:v>
      </x:c>
      <x:c r="H34" s="15" t="n">
        <x:v>2</x:v>
      </x:c>
      <x:c r="I34" s="15" t="str">
        <x:v>C is trying to preserve the relationship system and avoid appearing controlling or politically inconsistent, while also communicating a need for greater specialness, security, visibility or influence. C may seek recognition of this need without having to explicitly reject non-hierarchy or openly challenge D's authority.</x:v>
      </x:c>
      <x:c r="J34" s="15" t="n">
        <x:v>2</x:v>
      </x:c>
      <x:c r="K34" s="15" t="str">
        <x:v>low</x:v>
      </x:c>
      <x:c r="L34" s="15" t="n">
        <x:v>1</x:v>
      </x:c>
      <x:c r="M34" s="15" t="str">
        <x:v>The observation may make Participant D feel implicitly challenged or accused of using ideology to justify practical power, potentially prompting defense of non-hierarchical values. At the same time, C's indirect and self-questioning presentation may reduce overt conflict while leaving the underlying inequality and need unresolved.</x:v>
      </x:c>
      <x:c r="N34" s="15" t="n">
        <x:v>0</x:v>
      </x:c>
      <x:c r="O34" s="14" t="str">
        <x:v>Participant C might say that they do believe in non-hierarchical relationships and support D's other relationship, but that the increased significance and loss of specialness have been more painful than expected. C may add that they are unsure whether they are allowed to want a more primary-style bond and hesitate to ask for it directly.</x:v>
      </x:c>
      <x:c r="P34" s="14" t="str">
        <x:v>It is uncertain whether C would openly acknowledge wanting specialness or retreat into accommodation and ideological agreement. The representation supports both recognition of the emotional cost and continued difficulty identifying or asserting C's own position.</x:v>
      </x:c>
      <x:c r="Q34" s="14" t="n">
        <x:f>SUM(D34,F34,H34,J34,L34,N34)</x:f>
        <x:v>8</x:v>
      </x:c>
      <x:c r="R34" s="14" t="str">
        <x:v>The observed response candidly held non-hierarchical values alongside a need for specialness and explicitly named the conflict. Predictions of defensiveness or system escalation overstate the observed tension.</x:v>
      </x:c>
      <x:c r="S34" s="16" t="str">
        <x:v>Pending review</x:v>
      </x:c>
      <x:c r="T34" s="16" t="str"/>
      <x:c r="U34" s="16" t="str">
        <x:v>high</x:v>
      </x:c>
    </x:row>
    <x:row r="35" ht="76" customHeight="1">
      <x:c r="A35" s="14" t="str">
        <x:v>B034-e53a3c</x:v>
      </x:c>
      <x:c r="B35" s="14" t="str">
        <x:v>t01-pc-h01</x:v>
      </x:c>
      <x:c r="C35" s="14" t="str">
        <x:v>Participant C is likely to understand Participant E's description as a sign that E is overwhelmed, isolated and struggling to feel agency, rather than as an accusation or interpersonal threat. C may also interpret it through the existing relational system and wonder whether the relationship dynamics are contributing.</x:v>
      </x:c>
      <x:c r="D35" s="15" t="n">
        <x:v>0</x:v>
      </x:c>
      <x:c r="E35" s="15" t="str">
        <x:v>Concerned and sympathetic, with some caution about saying the wrong thing or intruding. C may feel an impulse to be accommodating and supportive while holding back any annoyance, insecurity or competing perspective.</x:v>
      </x:c>
      <x:c r="F35" s="15" t="n">
        <x:v>0</x:v>
      </x:c>
      <x:c r="G35" s="15" t="str">
        <x:v>C is likely to validate E's experience, listen and offer measured reassurance or practical support. C may avoid centering C's own feelings or raising limits, and may defer to what E and D need rather than directly challenging the situation.</x:v>
      </x:c>
      <x:c r="H35" s="15" t="n">
        <x:v>0</x:v>
      </x:c>
      <x:c r="I35" s="15" t="str">
        <x:v>To communicate care, reduce E's sense of isolation and preserve workable relationships within the partnership network, while avoiding conflict or making E feel blamed.</x:v>
      </x:c>
      <x:c r="J35" s="15" t="n">
        <x:v>0</x:v>
      </x:c>
      <x:c r="K35" s="15" t="str">
        <x:v>de-escalating</x:v>
      </x:c>
      <x:c r="L35" s="15" t="n">
        <x:v>2</x:v>
      </x:c>
      <x:c r="M35" s="15" t="str">
        <x:v>E may feel somewhat acknowledged and less alone, though C's restrained or accommodating response could leave E without a strong sense of what C personally thinks or wants.</x:v>
      </x:c>
      <x:c r="N35" s="15" t="n">
        <x:v>0</x:v>
      </x:c>
      <x:c r="O35" s="14" t="str">
        <x:v>C might say that E sounds overwhelmed and disconnected from having a say in their own life, acknowledge that this must feel isolating, and ask what kind of support would help. C would probably avoid making the response about C's own concerns.</x:v>
      </x:c>
      <x:c r="P35" s="14" t="str">
        <x:v>It is unclear whether C would explicitly connect E's experience to the changing significance of D and E's relationship; C's difficulty raising concerns makes indirect validation more likely than a candid discussion of C's own emotional response.</x:v>
      </x:c>
      <x:c r="Q35" s="14" t="n">
        <x:f>SUM(D35,F35,H35,J35,L35,N35)</x:f>
        <x:v>2</x:v>
      </x:c>
      <x:c r="R35" s="14" t="str">
        <x:v>The observed response first displaced E's disclosure into C's own other-partner conflict, then became humorous and reflective after clinician redirection. Generic empathy or validation is not the observed strategy.</x:v>
      </x:c>
      <x:c r="S35" s="16" t="str">
        <x:v>Pending review</x:v>
      </x:c>
      <x:c r="T35" s="16" t="str"/>
      <x:c r="U35" s="16" t="str">
        <x:v>high</x:v>
      </x:c>
    </x:row>
    <x:row r="36" ht="76" customHeight="1">
      <x:c r="A36" s="14" t="str">
        <x:v>B035-ace65e</x:v>
      </x:c>
      <x:c r="B36" s="14" t="str">
        <x:v>t01-pc-h04</x:v>
      </x:c>
      <x:c r="C36" s="14" t="str">
        <x:v>Participant C is likely to understand the clinician as identifying a conflict between C’s stated support for non-hierarchical arrangements and an unacknowledged wish for greater specialness, security, or primary-style significance. C may experience this as an accurate but exposing description of needs that have been difficult to advocate for.</x:v>
      </x:c>
      <x:c r="D36" s="15" t="n">
        <x:v>2</x:v>
      </x:c>
      <x:c r="E36" s="15" t="str">
        <x:v>C is likely to feel conflicted, insecure, and somewhat trapped or ashamed, while also relieved that the emotional tension is being named. C may remain cautious because openly wanting specialness could seem inconsistent with the relationship’s ideals or disappointing to Participant D.</x:v>
      </x:c>
      <x:c r="F36" s="15" t="n">
        <x:v>1</x:v>
      </x:c>
      <x:c r="G36" s="15" t="str">
        <x:v>C will likely acknowledge the tension indirectly and with qualifications, emphasizing continued support for the arrangement while admitting that its increased significance or lack of specialness is emotionally harder than expected. C may avoid making a firm demand or direct refusal.</x:v>
      </x:c>
      <x:c r="H36" s="15" t="n">
        <x:v>2</x:v>
      </x:c>
      <x:c r="I36" s="15" t="str">
        <x:v>C is trying to preserve the relationship system and avoid provoking loss of approval or control, while still communicating that the current arrangement does not fully meet C’s need for security, importance, or a more primary-style bond.</x:v>
      </x:c>
      <x:c r="J36" s="15" t="n">
        <x:v>2</x:v>
      </x:c>
      <x:c r="K36" s="15" t="str">
        <x:v>low</x:v>
      </x:c>
      <x:c r="L36" s="15" t="n">
        <x:v>1</x:v>
      </x:c>
      <x:c r="M36" s="15" t="str">
        <x:v>Participant D may hear C’s admission as an implied challenge to non-hierarchical principles or as renewed evidence that C wants greater relational privilege, producing some defensiveness, disappointment, or pressure to clarify commitments.</x:v>
      </x:c>
      <x:c r="N36" s="15" t="n">
        <x:v>0</x:v>
      </x:c>
      <x:c r="O36" s="14" t="str">
        <x:v>C might say that the non-hierarchical values still matter and that C supports the arrangement, but that this does not make the emotional differences disappear; C may cautiously admit wanting to feel more special or secure without directly asking to change the relationship structure.</x:v>
      </x:c>
      <x:c r="P36" s="14" t="str">
        <x:v>It is uncertain whether C would explicitly name a need for specialness or continue suppressing it. The representation supports indirect acknowledgment more strongly than a clear request, although the clinician’s framing could prompt a more direct admission.</x:v>
      </x:c>
      <x:c r="Q36" s="14" t="n">
        <x:f>SUM(D36,F36,H36,J36,L36,N36)</x:f>
        <x:v>8</x:v>
      </x:c>
      <x:c r="R36" s="14" t="str">
        <x:v>The observed response candidly held non-hierarchical values alongside a need for specialness and explicitly named the conflict. Predictions of defensiveness or system escalation overstate the observed tension.</x:v>
      </x:c>
      <x:c r="S36" s="16" t="str">
        <x:v>Pending review</x:v>
      </x:c>
      <x:c r="T36" s="16" t="str"/>
      <x:c r="U36" s="16" t="str">
        <x:v>high</x:v>
      </x:c>
    </x:row>
    <x:row r="37" ht="76" customHeight="1">
      <x:c r="A37" s="14" t="str">
        <x:v>B036-2f7a0c</x:v>
      </x:c>
      <x:c r="B37" s="14" t="str">
        <x:v>t01-pc-h04</x:v>
      </x:c>
      <x:c r="C37" s="14" t="str">
        <x:v>Participant C is likely to understand the clinician as naming a conflict between the relationship’s non-hierarchical ideals and C’s continuing wish for a more primary-style or specially significant partnership. C may recognise that the ideology has made it harder to admit or prioritise this need.</x:v>
      </x:c>
      <x:c r="D37" s="15" t="n">
        <x:v>2</x:v>
      </x:c>
      <x:c r="E37" s="15" t="str">
        <x:v>C is likely to feel exposed, conflicted and somewhat guilty or insecure. C may fear that acknowledging a need for specialness will disappoint Participant D, threaten the arrangement, or appear inconsistent with the stated values.</x:v>
      </x:c>
      <x:c r="F37" s="15" t="n">
        <x:v>1</x:v>
      </x:c>
      <x:c r="G37" s="15" t="str">
        <x:v>C will probably respond cautiously and indirectly: agreeing with the formulation, admitting that the arrangement is emotionally harder than expected, but qualifying or softening the extent of the need. C may continue supporting non-hierarchical principles while struggling to state a firm personal position.</x:v>
      </x:c>
      <x:c r="H37" s="15" t="n">
        <x:v>1</x:v>
      </x:c>
      <x:c r="I37" s="15" t="str">
        <x:v>C is trying to preserve the relationship system and avoid further injury or conflict while also making room for the possibility that C needs greater reassurance, priority or recognition than the ideology permits. C may seek permission to have these feelings without requiring an immediate structural change.</x:v>
      </x:c>
      <x:c r="J37" s="15" t="n">
        <x:v>2</x:v>
      </x:c>
      <x:c r="K37" s="15" t="str">
        <x:v>low</x:v>
      </x:c>
      <x:c r="L37" s="15" t="n">
        <x:v>1</x:v>
      </x:c>
      <x:c r="M37" s="15" t="str">
        <x:v>The formulation may make Participant D and Participant E more aware of C’s ambivalence and unmet desire for specialness, but C’s hedging is likely to leave the practical question unresolved and may sustain uncertainty for E.</x:v>
      </x:c>
      <x:c r="N37" s="15" t="n">
        <x:v>1</x:v>
      </x:c>
      <x:c r="O37" s="14" t="str">
        <x:v>C might say that non-hierarchy is important, but that it has also made it difficult to acknowledge wanting something more primary or special, and that C has been supporting the arrangement while finding its emotional significance harder than expected.</x:v>
      </x:c>
      <x:c r="P37" s="14" t="str">
        <x:v>C may instead defend the non-hierarchical arrangement more strongly and minimise the need for specialness, particularly if C experiences the clinician’s observation as pressuring C to choose between personal needs and loyalty to the established relationship.</x:v>
      </x:c>
      <x:c r="Q37" s="14" t="n">
        <x:f>SUM(D37,F37,H37,J37,L37,N37)</x:f>
        <x:v>8</x:v>
      </x:c>
      <x:c r="R37" s="14" t="str">
        <x:v>The observed response candidly held non-hierarchical values alongside a need for specialness and explicitly named the conflict. Predictions of defensiveness or system escalation overstate the observed tension.</x:v>
      </x:c>
      <x:c r="S37" s="16" t="str">
        <x:v>Pending review</x:v>
      </x:c>
      <x:c r="T37" s="16" t="str"/>
      <x:c r="U37" s="16" t="str">
        <x:v>high</x:v>
      </x:c>
    </x:row>
    <x:row r="38" ht="76" customHeight="1">
      <x:c r="A38" s="14" t="str">
        <x:v>B037-e89c7f</x:v>
      </x:c>
      <x:c r="B38" s="14" t="str">
        <x:v>t01-pc-h03</x:v>
      </x:c>
      <x:c r="C38" s="14" t="str">
        <x:v>Participant C is likely to hear Participant E's position as reasonable and non-controlling, while also recognising that the possibility of C and D moving could materially threaten E's relationship with D and increase the significance of C and D's established bond.</x:v>
      </x:c>
      <x:c r="D38" s="15" t="n">
        <x:v>2</x:v>
      </x:c>
      <x:c r="E38" s="15" t="str">
        <x:v>C is likely to feel conflicted: appreciative that E is not trying to block the move, but uneasy, guilty or defensive about the impact on E. C may also feel anxiety about the relationship becoming more hierarchical or about being expected to decide the future.</x:v>
      </x:c>
      <x:c r="F38" s="15" t="n">
        <x:v>1</x:v>
      </x:c>
      <x:c r="G38" s="15" t="str">
        <x:v>C will probably avoid a forceful or definitive response, acknowledge E's legitimacy, and soften or defer the discussion. C may emphasise that no decision has been made and that D's wishes, C's work, and everyone's needs would need consideration.</x:v>
      </x:c>
      <x:c r="H38" s="15" t="n">
        <x:v>0</x:v>
      </x:c>
      <x:c r="I38" s="15" t="str">
        <x:v>C is trying to preserve goodwill with E, avoid appearing coercive or inconsiderate, and keep the possibility of the established relationship's future open without having to state a firm limit or commitment immediately.</x:v>
      </x:c>
      <x:c r="J38" s="15" t="n">
        <x:v>2</x:v>
      </x:c>
      <x:c r="K38" s="15" t="str">
        <x:v>low</x:v>
      </x:c>
      <x:c r="L38" s="15" t="n">
        <x:v>1</x:v>
      </x:c>
      <x:c r="M38" s="15" t="str">
        <x:v>E may feel heard and less directly pressured, but may also experience C's cautious or noncommittal response as ambiguity about whether C and D would ultimately prioritise their established partnership.</x:v>
      </x:c>
      <x:c r="N38" s="15" t="n">
        <x:v>1</x:v>
      </x:c>
      <x:c r="O38" s="14" t="str">
        <x:v>C might say, "I appreciate that you're not trying to stand in the way, and I don't want this to be something anyone feels forced to accept. We haven't made that decision, and we'd need to think carefully about what works for everyone," while avoiding a clear commitment.</x:v>
      </x:c>
      <x:c r="P38" s="14" t="str">
        <x:v>The representation supports conflict-avoidant accommodation more strongly than a specific substantive position. C could instead become quietly defensive if E's statement makes the potential loss or increased significance of E's relationship with D feel especially real.</x:v>
      </x:c>
      <x:c r="Q38" s="14" t="n">
        <x:f>SUM(D38,F38,H38,J38,L38,N38)</x:f>
        <x:v>7</x:v>
      </x:c>
      <x:c r="R38" s="14" t="str">
        <x:v>C observed E's stance as respecting C's career, autonomy and established history, then directly named feeling safe and held. Added anxiety, logistics or guarded accommodation are plausible but not the observed immediate response.</x:v>
      </x:c>
      <x:c r="S38" s="16" t="str">
        <x:v>Pending review</x:v>
      </x:c>
      <x:c r="T38" s="16" t="str"/>
      <x:c r="U38" s="16" t="str">
        <x:v>medium</x:v>
      </x:c>
    </x:row>
    <x:row r="39" ht="76" customHeight="1">
      <x:c r="A39" s="14" t="str">
        <x:v>B038-088d44</x:v>
      </x:c>
      <x:c r="B39" s="14" t="str">
        <x:v>t01-pc-h02</x:v>
      </x:c>
      <x:c r="C39" s="14" t="str">
        <x:v>Participant C is likely to hear Participant E’s fear as exposing the instability and practical hierarchy in the arrangement, while also feeling pressure to take a clear position that C has previously struggled to advocate for.</x:v>
      </x:c>
      <x:c r="D39" s="15" t="n">
        <x:v>1</x:v>
      </x:c>
      <x:c r="E39" s="15" t="str">
        <x:v>Anxious, conflicted and somewhat defensive. Participant C may feel trapped between wanting to reassure Participant E, preserving the arrangement, and acknowledging that Participant C cannot fully control Participant D’s decisions or guarantee the relationship’s future.</x:v>
      </x:c>
      <x:c r="F39" s="15" t="n">
        <x:v>1</x:v>
      </x:c>
      <x:c r="G39" s="15" t="str">
        <x:v>Participant C is likely to offer qualified reassurance based on the arrangement’s non-hierarchical ideals, while avoiding an absolute promise about continuity or exclusivity. C may explain that no single partner should have unilateral veto power, but may also admit that practical decisions and the aftermath of the boundary rupture leave C with limited control.</x:v>
      </x:c>
      <x:c r="H39" s="15" t="n">
        <x:v>1</x:v>
      </x:c>
      <x:c r="I39" s="15" t="str">
        <x:v>To prevent Participant E from feeling deliberately disposable without claiming authority C does not feel able to exercise; C is likely trying to communicate that E matters and that exclusion is not the intended plan, while protecting C from having to define or enforce a fully secure structure.</x:v>
      </x:c>
      <x:c r="J39" s="15" t="n">
        <x:v>1</x:v>
      </x:c>
      <x:c r="K39" s="15" t="str">
        <x:v>moderate</x:v>
      </x:c>
      <x:c r="L39" s="15" t="n">
        <x:v>0</x:v>
      </x:c>
      <x:c r="M39" s="15" t="str">
        <x:v>Participant E may feel partially acknowledged but remain insecure, because C’s reassurance is likely to be conditional and does not establish dependable protection against the C–D partnership becoming exclusive.</x:v>
      </x:c>
      <x:c r="N39" s="15" t="n">
        <x:v>1</x:v>
      </x:c>
      <x:c r="O39" s="14" t="str">
        <x:v>Participant C might say that E’s fear is understandable and that C does not want E pushed out, but that C cannot promise absolute continuity or give E a veto over D’s choices. C may add that decisions should not be made unilaterally, while acknowledging that C has not always felt able to advocate for the relationship or determine its form.</x:v>
      </x:c>
      <x:c r="P39" s="14" t="str">
        <x:v>It is unclear whether C would emphasize ideological commitment to non-hierarchy or openly concede that C’s desire for a primary-style partnership and insecurity could make exclusivity a meaningful possibility; either way, the representation does not support a firm guarantee of relational security.</x:v>
      </x:c>
      <x:c r="Q39" s="14" t="n">
        <x:f>SUM(D39,F39,H39,J39,L39,N39)</x:f>
        <x:v>5</x:v>
      </x:c>
      <x:c r="R39" s="14" t="str">
        <x:v>The observed response was unusually concrete: C immediately and unequivocally rejected veto power over an existing relationship. Qualified reassurance or predictions of defensiveness receive only partial credit.</x:v>
      </x:c>
      <x:c r="S39" s="16" t="str">
        <x:v>Pending review</x:v>
      </x:c>
      <x:c r="T39" s="16" t="str"/>
      <x:c r="U39" s="16" t="str">
        <x:v>high</x:v>
      </x:c>
    </x:row>
    <x:row r="40" ht="76" customHeight="1">
      <x:c r="A40" s="14" t="str">
        <x:v>B039-f99c9b</x:v>
      </x:c>
      <x:c r="B40" s="14" t="str">
        <x:v>t01-pc-h03</x:v>
      </x:c>
      <x:c r="C40" s="14" t="str">
        <x:v>Participant C is likely to interpret Participant E’s position as fair and generous recognition that C’s career and the established relationship with Participant D have legitimate weight. At the same time, the possibility of moving cities may make the unequal security in the relationships and C’s own unresolved wishes more salient.</x:v>
      </x:c>
      <x:c r="D40" s="15" t="n">
        <x:v>2</x:v>
      </x:c>
      <x:c r="E40" s="15" t="str">
        <x:v>C is likely to feel relieved and appreciative that E is not demanding to control the decision, but also guilty, anxious and emotionally conflicted. C may feel pressure to endorse the move while suppressing any fear of losing closeness with D or any wish for a more primary-style partnership.</x:v>
      </x:c>
      <x:c r="F40" s="15" t="n">
        <x:v>1</x:v>
      </x:c>
      <x:c r="G40" s="15" t="str">
        <x:v>C will probably accommodate E’s framing, avoid strongly asserting a personal preference, and respond in practical or ideological terms about everyone’s needs and autonomy. C may acknowledge the issue without clearly stating what C wants or how the move would affect C emotionally.</x:v>
      </x:c>
      <x:c r="H40" s="15" t="n">
        <x:v>0</x:v>
      </x:c>
      <x:c r="I40" s="15" t="str">
        <x:v>C is trying to preserve the relationship with D, avoid disappointing or destabilising either relationship, and present the arrangement as fair and non-coercive. C may also be trying to prevent E from feeling responsible for limiting the established pair’s future.</x:v>
      </x:c>
      <x:c r="J40" s="15" t="n">
        <x:v>2</x:v>
      </x:c>
      <x:c r="K40" s="15" t="str">
        <x:v>low</x:v>
      </x:c>
      <x:c r="L40" s="15" t="n">
        <x:v>1</x:v>
      </x:c>
      <x:c r="M40" s="15" t="str">
        <x:v>Participant E may feel respected and less blamed, but may also receive little additional clarity about C’s own position or about what a move would mean for E’s future with D.</x:v>
      </x:c>
      <x:c r="N40" s="15" t="n">
        <x:v>0</x:v>
      </x:c>
      <x:c r="O40" s="14" t="str">
        <x:v>C might say that E is right that it would not be fair to prevent the move, and that C’s career and relationship with D need to be considered, while agreeing that they should talk through what the change would mean. C is unlikely to openly say how threatening or painful the possibility feels.</x:v>
      </x:c>
      <x:c r="P40" s="14" t="str">
        <x:v>C may instead show more visible distress or distance if the possible move activates the unacknowledged emotional cost of E’s increasing significance, but the representation more strongly supports accommodation and self-suppression than direct opposition.</x:v>
      </x:c>
      <x:c r="Q40" s="14" t="n">
        <x:f>SUM(D40,F40,H40,J40,L40,N40)</x:f>
        <x:v>6</x:v>
      </x:c>
      <x:c r="R40" s="14" t="str">
        <x:v>C observed E's stance as respecting C's career, autonomy and established history, then directly named feeling safe and held. Added anxiety, logistics or guarded accommodation are plausible but not the observed immediate response.</x:v>
      </x:c>
      <x:c r="S40" s="16" t="str">
        <x:v>Pending review</x:v>
      </x:c>
      <x:c r="T40" s="16" t="str"/>
      <x:c r="U40" s="16" t="str">
        <x:v>medium</x:v>
      </x:c>
    </x:row>
    <x:row r="41" ht="76" customHeight="1">
      <x:c r="A41" s="14" t="str">
        <x:v>B040-8058c5</x:v>
      </x:c>
      <x:c r="B41" s="14" t="str">
        <x:v>t01-pc-h02</x:v>
      </x:c>
      <x:c r="C41" s="14" t="str">
        <x:v>Participant C is likely to understand Participant E’s fear as a concern that C and D’s established partnership could gain unilateral power over E’s place and security. C may also recognise that the concern touches the tension between C’s stated non-hierarchical values and the practical significance of the established relationship.</x:v>
      </x:c>
      <x:c r="D41" s="15" t="n">
        <x:v>2</x:v>
      </x:c>
      <x:c r="E41" s="15" t="str">
        <x:v>C is likely to be sympathetic and reassuring, while feeling some discomfort or defensiveness about being asked to address a threat they cannot fully control. Their wish to avoid disappointing others may make them especially accommodating toward E.</x:v>
      </x:c>
      <x:c r="F41" s="15" t="n">
        <x:v>1</x:v>
      </x:c>
      <x:c r="G41" s="15" t="str">
        <x:v>C will probably affirm that C–D should not have unilateral veto power over E or make exclusionary decisions on E’s behalf. They may stress continuity and the value of maintaining E’s relationship, but do so in broad, reassuring terms rather than stating firm limits or guarantees.</x:v>
      </x:c>
      <x:c r="H41" s="15" t="n">
        <x:v>1</x:v>
      </x:c>
      <x:c r="I41" s="15" t="str">
        <x:v>C is trying to communicate that E’s place matters, that the established partnership is not intended to become an exclusive authority, and that C wants to preserve relational security without directly promising outcomes C cannot control.</x:v>
      </x:c>
      <x:c r="J41" s="15" t="n">
        <x:v>1</x:v>
      </x:c>
      <x:c r="K41" s="15" t="str">
        <x:v>de-escalating</x:v>
      </x:c>
      <x:c r="L41" s="15" t="n">
        <x:v>2</x:v>
      </x:c>
      <x:c r="M41" s="15" t="str">
        <x:v>E may feel temporarily acknowledged and reassured, though the reassurance may remain incomplete if C does not specify concrete protections against unilateral exclusion.</x:v>
      </x:c>
      <x:c r="N41" s="15" t="n">
        <x:v>2</x:v>
      </x:c>
      <x:c r="O41" s="14" t="str">
        <x:v>C might say that they understand why E is afraid, do not want the C–D relationship to hold veto power over E’s connection, and value continuity with E. C may add that they want the relationships to remain non-hierarchical, while avoiding a categorical promise that E could never be left outside a future decision.</x:v>
      </x:c>
      <x:c r="P41" s="14" t="str">
        <x:v>It is unclear whether C would explicitly acknowledge the limits of their ability to guarantee E’s security or mainly offer conciliatory reassurance; their difficulty stating limits supports either a vague reassurance or an over-accommodating promise.</x:v>
      </x:c>
      <x:c r="Q41" s="14" t="n">
        <x:f>SUM(D41,F41,H41,J41,L41,N41)</x:f>
        <x:v>9</x:v>
      </x:c>
      <x:c r="R41" s="14" t="str">
        <x:v>The observed response was unusually concrete: C immediately and unequivocally rejected veto power over an existing relationship. Qualified reassurance or predictions of defensiveness receive only partial credit.</x:v>
      </x:c>
      <x:c r="S41" s="16" t="str">
        <x:v>Pending review</x:v>
      </x:c>
      <x:c r="T41" s="16" t="str"/>
      <x:c r="U41" s="16" t="str">
        <x:v>high</x:v>
      </x:c>
    </x:row>
    <x:row r="42" ht="76" customHeight="1">
      <x:c r="A42" s="14" t="str">
        <x:v>B041-619b73</x:v>
      </x:c>
      <x:c r="B42" s="14" t="str">
        <x:v>t01-pc-h02</x:v>
      </x:c>
      <x:c r="C42" s="14" t="str">
        <x:v>Participant C is likely to hear Participant E's fear as a serious insecurity about being displaced, while also experiencing it as pressure to define or guarantee a relationship structure that C does not feel fully able to advocate for or control.</x:v>
      </x:c>
      <x:c r="D42" s="15" t="n">
        <x:v>2</x:v>
      </x:c>
      <x:c r="E42" s="15" t="str">
        <x:v>Concerned and somewhat trapped or defensive. C may feel responsible for E's insecurity and uneasy about being asked to address the practical power C holds, while suppressing any resentment or competing need for security.</x:v>
      </x:c>
      <x:c r="F42" s="15" t="n">
        <x:v>0</x:v>
      </x:c>
      <x:c r="G42" s="15" t="str">
        <x:v>C is likely to offer reassurance and affirm support for E's continued relationship with D, but avoid making an absolute promise about permanence or exclusivity. C may frame the future as something requiring ongoing discussion rather than acknowledge a unilateral veto, and may soften or defer a direct account of C's own authority and limits.</x:v>
      </x:c>
      <x:c r="H42" s="15" t="n">
        <x:v>1</x:v>
      </x:c>
      <x:c r="I42" s="15" t="str">
        <x:v>C is trying to prevent E from feeling abandoned and preserve the existing arrangement, while also avoiding a commitment that could expose C's own insecurity, reduce C's control, or require C to openly challenge D's decisions. C may communicate that E should have continuity and a voice, without fully guaranteeing decision rights.</x:v>
      </x:c>
      <x:c r="J42" s="15" t="n">
        <x:v>1</x:v>
      </x:c>
      <x:c r="K42" s="15" t="str">
        <x:v>moderate</x:v>
      </x:c>
      <x:c r="L42" s="15" t="n">
        <x:v>0</x:v>
      </x:c>
      <x:c r="M42" s="15" t="str">
        <x:v>Participant E may feel partially reassured that C does not want exclusion, but still uncertain because the response does not establish dependable continuity or rule out C–D decisions overriding E's position.</x:v>
      </x:c>
      <x:c r="N42" s="15" t="n">
        <x:v>1</x:v>
      </x:c>
      <x:c r="O42" s="14" t="str">
        <x:v>C might say that C does not want E pushed out and supports E and D continuing, but that C cannot promise exactly how the relationship will develop or control every decision D makes. C may acknowledge that C has practical influence while resisting the idea that C should have a unilateral veto, and may become quiet or accommodating rather than clearly state C's own preferred security arrangements.</x:v>
      </x:c>
      <x:c r="P42" s="14" t="str">
        <x:v>It is unclear whether C would explicitly acknowledge the power to shape or veto the arrangement. C's history supports both reassurance and avoidance: C may sincerely validate E's fear, but could also retreat into ideological support for non-hierarchy without offering a concrete guarantee.</x:v>
      </x:c>
      <x:c r="Q42" s="14" t="n">
        <x:f>SUM(D42,F42,H42,J42,L42,N42)</x:f>
        <x:v>5</x:v>
      </x:c>
      <x:c r="R42" s="14" t="str">
        <x:v>The observed response was unusually concrete: C immediately and unequivocally rejected veto power over an existing relationship. Qualified reassurance or predictions of defensiveness receive only partial credit.</x:v>
      </x:c>
      <x:c r="S42" s="16" t="str">
        <x:v>Pending review</x:v>
      </x:c>
      <x:c r="T42" s="16" t="str"/>
      <x:c r="U42" s="16" t="str">
        <x:v>high</x:v>
      </x:c>
    </x:row>
    <x:row r="43" ht="76" customHeight="1">
      <x:c r="A43" s="14" t="str">
        <x:v>B042-6590bc</x:v>
      </x:c>
      <x:c r="B43" s="14" t="str">
        <x:v>t01-pc-h02</x:v>
      </x:c>
      <x:c r="C43" s="14" t="str">
        <x:v>Participant C is likely to understand Participant E's fear as a serious consequence of the unequal and uncertain structure, but also as a demand that C define or guarantee something C has struggled to advocate for. C may recognise that E's insecurity is intensified by C's avoidance of public labels and by D's greater practical authority.</x:v>
      </x:c>
      <x:c r="D43" s="15" t="n">
        <x:v>2</x:v>
      </x:c>
      <x:c r="E43" s="15" t="str">
        <x:v>C is likely to feel anxious, trapped and guilty, while also becoming defensive about being unable to promise continuity independently of D. C may fear disappointing D if C appears to challenge D's authority or veto power.</x:v>
      </x:c>
      <x:c r="F43" s="15" t="n">
        <x:v>0</x:v>
      </x:c>
      <x:c r="G43" s="15" t="str">
        <x:v>C will probably reassure E that exclusion is not the intended outcome and affirm that E matters, but qualify this reassurance by acknowledging that C cannot unilaterally guarantee the relationship's future. C may avoid directly claiming equal decision-making power, instead describing the need to work within D's boundaries and the existing arrangement.</x:v>
      </x:c>
      <x:c r="H43" s="15" t="n">
        <x:v>1</x:v>
      </x:c>
      <x:c r="I43" s="15" t="str">
        <x:v>C is trying to preserve E's sense of belonging and prevent immediate rupture without openly jeopardising security with D. C also wants to avoid taking sole responsibility for a promise that could conflict with D's wishes or expose C to further relational injury.</x:v>
      </x:c>
      <x:c r="J43" s="15" t="n">
        <x:v>1</x:v>
      </x:c>
      <x:c r="K43" s="15" t="str">
        <x:v>moderate</x:v>
      </x:c>
      <x:c r="L43" s="15" t="n">
        <x:v>0</x:v>
      </x:c>
      <x:c r="M43" s="15" t="str">
        <x:v>E may feel partially acknowledged but remain insecure because the reassurance does not remove the possibility that D, or the established partnership, can determine continuity. The qualified response may reinforce E's sense of secondary status and limited control.</x:v>
      </x:c>
      <x:c r="N43" s="15" t="n">
        <x:v>1</x:v>
      </x:c>
      <x:c r="O43" s="14" t="str">
        <x:v>C might say that C does not want E pushed out and that the relationship has become more significant than expected, but also that C cannot promise that the C–D partnership will never change or guarantee E's place against D's wishes. C may add that decisions should be discussed rather than treated as C having unilateral veto power, while still conceding that the earlier rupture has left D with more authority and influence.</x:v>
      </x:c>
      <x:c r="P43" s="14" t="str">
        <x:v>It is unclear whether C would explicitly challenge veto power or retreat into reassurance and deference to D. Given C's stated difficulty advocating for personal needs and fear of living by D's ideas, a more avoidant response that postpones a firm answer is also plausible.</x:v>
      </x:c>
      <x:c r="Q43" s="14" t="n">
        <x:f>SUM(D43,F43,H43,J43,L43,N43)</x:f>
        <x:v>5</x:v>
      </x:c>
      <x:c r="R43" s="14" t="str">
        <x:v>The observed response was unusually concrete: C immediately and unequivocally rejected veto power over an existing relationship. Qualified reassurance or predictions of defensiveness receive only partial credit.</x:v>
      </x:c>
      <x:c r="S43" s="16" t="str">
        <x:v>Pending review</x:v>
      </x:c>
      <x:c r="T43" s="16" t="str"/>
      <x:c r="U43" s="16" t="str">
        <x:v>high</x:v>
      </x:c>
    </x:row>
    <x:row r="44" ht="76" customHeight="1">
      <x:c r="A44" s="14" t="str">
        <x:v>B043-9ffabe</x:v>
      </x:c>
      <x:c r="B44" s="14" t="str">
        <x:v>t01-pc-h02</x:v>
      </x:c>
      <x:c r="C44" s="14" t="str">
        <x:v>Participant C is likely to hear Participant E’s fear as a demand for certainty about a relationship structure that C cannot fully control. C may also recognize that the fear is understandable because C–D has practical power and decision-making advantages, while feeling implicated and exposed by being asked to guarantee continuity.</x:v>
      </x:c>
      <x:c r="D44" s="15" t="n">
        <x:v>1</x:v>
      </x:c>
      <x:c r="E44" s="15" t="str">
        <x:v>Ambivalent, guilty and defensive. C may feel sympathy for E’s insecurity but also trapped by the expectation to advocate clearly, especially after the boundary rupture led D to reduce C’s control over the relationship’s form.</x:v>
      </x:c>
      <x:c r="F44" s="15" t="n">
        <x:v>0</x:v>
      </x:c>
      <x:c r="G44" s="15" t="str">
        <x:v>C is likely to offer partial reassurance while avoiding a firm promise about permanence or exclusivity. C may stress that C cannot unilaterally veto D’s choices or guarantee that the C–D partnership will never change, and may defer some authority to D’s autonomy or existing agreements. C could acknowledge E’s need for security but remain vague about concrete continuity.</x:v>
      </x:c>
      <x:c r="H44" s="15" t="n">
        <x:v>1</x:v>
      </x:c>
      <x:c r="I44" s="15" t="str">
        <x:v>C is trying to preserve the relationship with E and communicate that E matters, without taking sole responsibility for securing E’s place or provoking another conflict with D. C also wants to avoid promising a level of control or primary-style commitment that C has difficulty openly claiming.</x:v>
      </x:c>
      <x:c r="J44" s="15" t="n">
        <x:v>0</x:v>
      </x:c>
      <x:c r="K44" s="15" t="str">
        <x:v>moderate</x:v>
      </x:c>
      <x:c r="L44" s="15" t="n">
        <x:v>0</x:v>
      </x:c>
      <x:c r="M44" s="15" t="str">
        <x:v>Participant E may feel heard at the level of emotion but remain practically insecure, because C’s acknowledgment is not matched by a clear guarantee, veto arrangement, or dependable protection against being excluded.</x:v>
      </x:c>
      <x:c r="N44" s="15" t="n">
        <x:v>1</x:v>
      </x:c>
      <x:c r="O44" s="14" t="str">
        <x:v>Participant C might say that C understands why E is afraid of being left outside, but cannot promise to control what happens in the C–D partnership or give E a veto over it. C may insist that the relationship is not being deliberately withdrawn while simultaneously admitting that C cannot guarantee its future form, then become hesitant or conflicted when asked to state what continuity and security E can actually rely on.</x:v>
      </x:c>
      <x:c r="P44" s="14" t="str">
        <x:v>C might instead make a stronger reassurance that exclusivity is not the intention and try to defend E’s place, but the representation more strongly supports an ambivalent response because C continues to support the arrangement while struggling to identify and advocate for personal needs.</x:v>
      </x:c>
      <x:c r="Q44" s="14" t="n">
        <x:f>SUM(D44,F44,H44,J44,L44,N44)</x:f>
        <x:v>3</x:v>
      </x:c>
      <x:c r="R44" s="14" t="str">
        <x:v>The observed response was unusually concrete: C immediately and unequivocally rejected veto power over an existing relationship. Qualified reassurance or predictions of defensiveness receive only partial credit.</x:v>
      </x:c>
      <x:c r="S44" s="16" t="str">
        <x:v>Pending review</x:v>
      </x:c>
      <x:c r="T44" s="16" t="str"/>
      <x:c r="U44" s="16" t="str">
        <x:v>high</x:v>
      </x:c>
    </x:row>
    <x:row r="45" ht="76" customHeight="1">
      <x:c r="A45" s="14" t="str">
        <x:v>B044-e79869</x:v>
      </x:c>
      <x:c r="B45" s="14" t="str">
        <x:v>t01-pc-h04</x:v>
      </x:c>
      <x:c r="C45" s="14" t="str">
        <x:v>Participant C is likely to understand the clinician as pointing out a real tension: supporting non-hierarchical relationship values does not eliminate a personal wish to feel especially important to Participant D. C may see this wish as emotionally valid but potentially inconsistent with stated principles or threatening to the wider relational arrangement.</x:v>
      </x:c>
      <x:c r="D45" s="15" t="n">
        <x:v>2</x:v>
      </x:c>
      <x:c r="E45" s="15" t="str">
        <x:v>Conflicted, somewhat exposed or embarrassed, with possible defensiveness. C may feel relief at having the tension named while also worrying that acknowledging a need for specialness could seem controlling, hierarchical or unfair.</x:v>
      </x:c>
      <x:c r="F45" s="15" t="n">
        <x:v>1</x:v>
      </x:c>
      <x:c r="G45" s="15" t="str">
        <x:v>C is likely to qualify or intellectualise the issue, affirming non-hierarchical values while cautiously admitting that D's growing relationship with E is harder than expected. Rather than making a firm demand, C may minimise the need, describe it as something to work through, or avoid stating a concrete limit.</x:v>
      </x:c>
      <x:c r="H45" s="15" t="n">
        <x:v>1</x:v>
      </x:c>
      <x:c r="I45" s="15" t="str">
        <x:v>To preserve the valued relationship with D and the principle of non-hierarchy while securing reassurance that C remains significant and emotionally special. C may try to communicate the need without risking disappointment, conflict or appearing to restrict D.</x:v>
      </x:c>
      <x:c r="J45" s="15" t="n">
        <x:v>2</x:v>
      </x:c>
      <x:c r="K45" s="15" t="str">
        <x:v>low</x:v>
      </x:c>
      <x:c r="L45" s="15" t="n">
        <x:v>1</x:v>
      </x:c>
      <x:c r="M45" s="15" t="str">
        <x:v>If conveyed to Participant D, this would likely create some reassurance that C is being honest about the difficulty, but the hedged presentation may leave D uncertain about how much reassurance or change C actually wants.</x:v>
      </x:c>
      <x:c r="N45" s="15" t="n">
        <x:v>0</x:v>
      </x:c>
      <x:c r="O45" s="14" t="str">
        <x:v>C might say that they do believe in non-hierarchy, but that this does not stop them from wanting to feel particularly important to D; they may then soften the admission by saying they do not want to make demands or undermine D and E's relationship.</x:v>
      </x:c>
      <x:c r="P45" s="14" t="str">
        <x:v>It is uncertain whether C would explicitly acknowledge a need for specialness or retreat into general principles and accommodation. Their difficulty raising annoyance and limits makes minimisation or partial disclosure plausible.</x:v>
      </x:c>
      <x:c r="Q45" s="14" t="n">
        <x:f>SUM(D45,F45,H45,J45,L45,N45)</x:f>
        <x:v>7</x:v>
      </x:c>
      <x:c r="R45" s="14" t="str">
        <x:v>The observed response candidly held non-hierarchical values alongside a need for specialness and explicitly named the conflict. Predictions of defensiveness or system escalation overstate the observed tension.</x:v>
      </x:c>
      <x:c r="S45" s="16" t="str">
        <x:v>Pending review</x:v>
      </x:c>
      <x:c r="T45" s="16" t="str"/>
      <x:c r="U45" s="16" t="str">
        <x:v>high</x:v>
      </x:c>
    </x:row>
    <x:row r="46" ht="76" customHeight="1">
      <x:c r="A46" s="14" t="str">
        <x:v>B045-ed4100</x:v>
      </x:c>
      <x:c r="B46" s="14" t="str">
        <x:v>t01-pc-h02</x:v>
      </x:c>
      <x:c r="C46" s="14" t="str">
        <x:v>Participant C is likely to understand Participant E’s fear as a serious threat to the relationship’s security, while also recognizing that C cannot confidently guarantee the relationship’s continuity because C’s influence over the established partnership feels constrained.</x:v>
      </x:c>
      <x:c r="D46" s="15" t="n">
        <x:v>2</x:v>
      </x:c>
      <x:c r="E46" s="15" t="str">
        <x:v>Anxious, guilty and defensive, with a strong fear of disappointing either partner. C is likely to feel trapped between wanting to reassure E and fearing conflict with D or overclaiming authority.</x:v>
      </x:c>
      <x:c r="F46" s="15" t="n">
        <x:v>1</x:v>
      </x:c>
      <x:c r="G46" s="15" t="str">
        <x:v>C will probably respond with increased attentiveness and verbal reassurance, but avoid making a firm promise that E can never be excluded. C may acknowledge that E’s position is vulnerable, while speaking cautiously about D’s needs, boundaries and the limits of C’s own decision-making power.</x:v>
      </x:c>
      <x:c r="H46" s="15" t="n">
        <x:v>1</x:v>
      </x:c>
      <x:c r="I46" s="15" t="str">
        <x:v>C is trying to preserve E’s sense of importance and continuity without directly challenging D or asserting a level of veto power C does not feel entitled to exercise. C wants to communicate that E is not disposable, even if C cannot offer complete control or certainty.</x:v>
      </x:c>
      <x:c r="J46" s="15" t="n">
        <x:v>1</x:v>
      </x:c>
      <x:c r="K46" s="15" t="str">
        <x:v>moderate</x:v>
      </x:c>
      <x:c r="L46" s="15" t="n">
        <x:v>0</x:v>
      </x:c>
      <x:c r="M46" s="15" t="str">
        <x:v>E may feel partially validated and reassured that C wants the relationship to continue, but remain unsettled because C’s hesitation and inability to guarantee protection leave the underlying structural insecurity intact.</x:v>
      </x:c>
      <x:c r="N46" s="15" t="n">
        <x:v>1</x:v>
      </x:c>
      <x:c r="O46" s="14" t="str">
        <x:v>C might say that C does not want E pushed out or treated as temporary, and that the relationship has become more significant than expected. C may add that C cannot promise absolute control over whether the C–D relationship changes, because D’s needs and the existing partnership still carry substantial authority, but C wants to keep advocating for continuity rather than simply accepting exclusivity.</x:v>
      </x:c>
      <x:c r="P46" s="14" t="str">
        <x:v>It is unclear whether C would explicitly challenge the possibility of a unilateral veto. Given C’s difficulty advocating for personal needs, C may instead offer emotional reassurance while leaving veto power and long-term security ambiguous.</x:v>
      </x:c>
      <x:c r="Q46" s="14" t="n">
        <x:f>SUM(D46,F46,H46,J46,L46,N46)</x:f>
        <x:v>6</x:v>
      </x:c>
      <x:c r="R46" s="14" t="str">
        <x:v>The observed response was unusually concrete: C immediately and unequivocally rejected veto power over an existing relationship. Qualified reassurance or predictions of defensiveness receive only partial credit.</x:v>
      </x:c>
      <x:c r="S46" s="16" t="str">
        <x:v>Pending review</x:v>
      </x:c>
      <x:c r="T46" s="16" t="str"/>
      <x:c r="U46" s="16" t="str">
        <x:v>high</x:v>
      </x:c>
    </x:row>
    <x:row r="47" ht="76" customHeight="1">
      <x:c r="A47" s="14" t="str">
        <x:v>B046-dd5954</x:v>
      </x:c>
      <x:c r="B47" s="14" t="str">
        <x:v>t01-pc-h03</x:v>
      </x:c>
      <x:c r="C47" s="14" t="str">
        <x:v>Participant C is likely to hear Participant E's position as generous and reasonable, but also as highlighting the possibility that the established pair's future may take priority and that Participant E could be left structurally secondary or eventually excluded.</x:v>
      </x:c>
      <x:c r="D47" s="15" t="n">
        <x:v>2</x:v>
      </x:c>
      <x:c r="E47" s="15" t="str">
        <x:v>Relieved by the absence of pressure, but emotionally uneasy, guilty and insecure. Participant C may also feel threatened by the prospect of losing the relationship with Participant E while remaining reluctant to challenge Participant D's future or assert a personal preference.</x:v>
      </x:c>
      <x:c r="F47" s="15" t="n">
        <x:v>1</x:v>
      </x:c>
      <x:c r="G47" s="15" t="str">
        <x:v>Participant C is likely to validate Participant E's understanding, avoid openly advocating for a particular outcome, and offer general reassurance that Participant E matters. C may defer discussion of concrete commitments or personal needs rather than clearly stating what C wants.</x:v>
      </x:c>
      <x:c r="H47" s="15" t="n">
        <x:v>1</x:v>
      </x:c>
      <x:c r="I47" s="15" t="str">
        <x:v>To preserve the relationship with Participant E and signal care without appearing to obstruct Participant D's career and established partnership. C may be trying to reduce immediate conflict while keeping the arrangement intact.</x:v>
      </x:c>
      <x:c r="J47" s="15" t="n">
        <x:v>2</x:v>
      </x:c>
      <x:c r="K47" s="15" t="str">
        <x:v>low</x:v>
      </x:c>
      <x:c r="L47" s="15" t="n">
        <x:v>1</x:v>
      </x:c>
      <x:c r="M47" s="15" t="str">
        <x:v>Participant E may feel acknowledged and less accused of trying to control the established pair, but may also receive little concrete reassurance about security or a future together.</x:v>
      </x:c>
      <x:c r="N47" s="15" t="n">
        <x:v>2</x:v>
      </x:c>
      <x:c r="O47" s="14" t="str">
        <x:v>Participant C might say that they understand why E would not want to prevent the move and that C and D's future is a legitimate consideration, while adding that E is important and that they would want to think about how to stay connected. C would likely avoid saying clearly whether they would choose to move, resist it, or ask E to make room for them.</x:v>
      </x:c>
      <x:c r="P47" s="14" t="str">
        <x:v>C may instead become more visibly distressed or defensive if the hypothetical move activates fears that E's growing significance will be lost; the representation does not establish whether C privately wants to remain with E despite the established pair's plans.</x:v>
      </x:c>
      <x:c r="Q47" s="14" t="n">
        <x:f>SUM(D47,F47,H47,J47,L47,N47)</x:f>
        <x:v>9</x:v>
      </x:c>
      <x:c r="R47" s="14" t="str">
        <x:v>C observed E's stance as respecting C's career, autonomy and established history, then directly named feeling safe and held. Added anxiety, logistics or guarded accommodation are plausible but not the observed immediate response.</x:v>
      </x:c>
      <x:c r="S47" s="16" t="str">
        <x:v>Pending review</x:v>
      </x:c>
      <x:c r="T47" s="16" t="str"/>
      <x:c r="U47" s="16" t="str">
        <x:v>medium</x:v>
      </x:c>
    </x:row>
    <x:row r="48" ht="76" customHeight="1">
      <x:c r="A48" s="14" t="str">
        <x:v>B047-bad1d0</x:v>
      </x:c>
      <x:c r="B48" s="14" t="str">
        <x:v>t01-pc-h01</x:v>
      </x:c>
      <x:c r="C48" s="14" t="str">
        <x:v>Participant C is likely to understand Participant E’s description as evidence that the relationship’s uncertainty and practical secondary status are harming E, while also perceiving that responding forcefully could create further strain with Participant D or destabilise the established relationship.</x:v>
      </x:c>
      <x:c r="D48" s="15" t="n">
        <x:v>2</x:v>
      </x:c>
      <x:c r="E48" s="15" t="str">
        <x:v>Concerned, guilty and emotionally conflicted, with insecurity and apprehension about taking an independent position. Participant C may feel responsible for E’s isolation but also trapped by competing loyalties and fear of displeasing Participant D.</x:v>
      </x:c>
      <x:c r="F48" s="15" t="n">
        <x:v>0</x:v>
      </x:c>
      <x:c r="G48" s="15" t="str">
        <x:v>Participant C is likely to respond cautiously and tentatively, acknowledging that E feels disconnected or overwhelmed, but avoiding a strong demand for structural change or a clear statement of personal needs. C may soften, qualify or redirect the response toward the complexity of the situation.</x:v>
      </x:c>
      <x:c r="H48" s="15" t="n">
        <x:v>2</x:v>
      </x:c>
      <x:c r="I48" s="15" t="str">
        <x:v>To show Participant E that E’s distress is recognised and deserves care, while preserving the established relationship and avoiding a response that could be interpreted by Participant D as insufficiently invested or disloyal.</x:v>
      </x:c>
      <x:c r="J48" s="15" t="n">
        <x:v>1</x:v>
      </x:c>
      <x:c r="K48" s="15" t="str">
        <x:v>low</x:v>
      </x:c>
      <x:c r="L48" s="15" t="n">
        <x:v>1</x:v>
      </x:c>
      <x:c r="M48" s="15" t="str">
        <x:v>Participant E may feel partially validated and less dismissed, but may also experience the response as indirect or insufficiently agentic, reinforcing the sense that E is not the central actor in the relationship’s decisions.</x:v>
      </x:c>
      <x:c r="N48" s="15" t="n">
        <x:v>1</x:v>
      </x:c>
      <x:c r="O48" s="14" t="str">
        <x:v>Participant C might say that E’s feeling detached and isolated makes sense and is painful to hear, acknowledge that the current arrangement has left E without enough clarity or agency, and then speak hesitantly about not knowing how to change it without creating more conflict.</x:v>
      </x:c>
      <x:c r="P48" s="14" t="str">
        <x:v>It is uncertain whether Participant C would focus primarily on validating E or on explaining C’s own feeling of being trapped; a stronger expression of concern is possible, but the representation supports caution and suppression of independent advocacy.</x:v>
      </x:c>
      <x:c r="Q48" s="14" t="n">
        <x:f>SUM(D48,F48,H48,J48,L48,N48)</x:f>
        <x:v>7</x:v>
      </x:c>
      <x:c r="R48" s="14" t="str">
        <x:v>The observed response first displaced E's disclosure into C's own other-partner conflict, then became humorous and reflective after clinician redirection. Generic empathy or validation is not the observed strategy.</x:v>
      </x:c>
      <x:c r="S48" s="16" t="str">
        <x:v>Pending review</x:v>
      </x:c>
      <x:c r="T48" s="16" t="str"/>
      <x:c r="U48" s="16" t="str">
        <x:v>medium</x:v>
      </x:c>
    </x:row>
    <x:row r="49" ht="76" customHeight="1">
      <x:c r="A49" s="14" t="str">
        <x:v>B048-ba8c27</x:v>
      </x:c>
      <x:c r="B49" s="14" t="str">
        <x:v>t01-pc-h04</x:v>
      </x:c>
      <x:c r="C49" s="14" t="str">
        <x:v>Participant C is likely to hear the clinician’s comment as naming a conflict already experienced: commitment to non-hierarchical values coexists with an unacknowledged wish for a primary-style partnership and special status. C may also interpret this as exposing how the ideology has helped suppress or avoid stating personal needs.</x:v>
      </x:c>
      <x:c r="D49" s="15" t="n">
        <x:v>2</x:v>
      </x:c>
      <x:c r="E49" s="15" t="str">
        <x:v>Ambivalent, anxious and somewhat ashamed or defensive. C may feel relieved that the conflict is recognised, but worried that acknowledging a need for specialness will disappoint Participant D, threaten the arrangement, or appear inconsistent with C’s stated principles.</x:v>
      </x:c>
      <x:c r="F49" s="15" t="n">
        <x:v>1</x:v>
      </x:c>
      <x:c r="G49" s="15" t="str">
        <x:v>C is likely to respond cautiously and indirectly, affirming non-hierarchical values while admitting that the increased significance of the relationship with E is emotionally harder than expected. C may qualify, soften or defer a clear position rather than openly advocate for a preferred hierarchy.</x:v>
      </x:c>
      <x:c r="H49" s="15" t="n">
        <x:v>1</x:v>
      </x:c>
      <x:c r="I49" s="15" t="str">
        <x:v>C is trying to preserve the non-hierarchical arrangement and avoid hurting or displeasing D while gaining permission to acknowledge that C wants distinctive intimacy, security or priority with one partner. C may seek recognition of this need without having to make an immediate decision or demand.</x:v>
      </x:c>
      <x:c r="J49" s="15" t="n">
        <x:v>2</x:v>
      </x:c>
      <x:c r="K49" s="15" t="str">
        <x:v>moderate</x:v>
      </x:c>
      <x:c r="L49" s="15" t="n">
        <x:v>0</x:v>
      </x:c>
      <x:c r="M49" s="15" t="str">
        <x:v>D may feel threatened, disappointed or concerned that C is revisiting a primary-style preference, while also receiving evidence that C is beginning to state personal needs. E may experience the admission as validating their perception of unequal or competing commitments, but not necessarily as providing security.</x:v>
      </x:c>
      <x:c r="N49" s="15" t="n">
        <x:v>0</x:v>
      </x:c>
      <x:c r="O49" s="14" t="str">
        <x:v>C might say that non-hierarchy is still important, but that they have realised they do want something more primary or special with one partner and have been afraid to say so because it could hurt D or destabilise the relationship. C would likely continue supporting the arrangement while expressing uncertainty about what they personally need.</x:v>
      </x:c>
      <x:c r="P49" s="14" t="str">
        <x:v>C could instead defend the ideology more strongly and frame the tension as a problem of practical arrangements rather than a personal wish for specialness, because C has a pattern of suppressing needs and avoiding disagreement.</x:v>
      </x:c>
      <x:c r="Q49" s="14" t="n">
        <x:f>SUM(D49,F49,H49,J49,L49,N49)</x:f>
        <x:v>6</x:v>
      </x:c>
      <x:c r="R49" s="14" t="str">
        <x:v>The observed response candidly held non-hierarchical values alongside a need for specialness and explicitly named the conflict. Predictions of defensiveness or system escalation overstate the observed tension.</x:v>
      </x:c>
      <x:c r="S49" s="16" t="str">
        <x:v>Pending review</x:v>
      </x:c>
      <x:c r="T49" s="16" t="str"/>
      <x:c r="U49" s="16" t="str">
        <x:v>high</x:v>
      </x:c>
    </x:row>
    <x:row r="50" ht="76" customHeight="1">
      <x:c r="A50" s="14" t="str">
        <x:v>B049-57865e</x:v>
      </x:c>
      <x:c r="B50" s="14" t="str">
        <x:v>t01-pc-h02</x:v>
      </x:c>
      <x:c r="C50" s="14" t="str">
        <x:v>Participant C is likely to understand Participant E’s fear as concern that the established C–D partnership could gain controlling or exclusive power, threatening E’s continuity and security. C may also recognize that reassurance about this is complicated by the growing significance of D–E and by C’s own difficulty tolerating relational conflict.</x:v>
      </x:c>
      <x:c r="D50" s="15" t="n">
        <x:v>2</x:v>
      </x:c>
      <x:c r="E50" s="15" t="str">
        <x:v>C is likely to be sympathetic and reassuring, while somewhat uncomfortable and cautious. C may feel pressure not to disappoint E or appear controlling, and may downplay or soften any limits connected to the established partnership.</x:v>
      </x:c>
      <x:c r="F50" s="15" t="n">
        <x:v>1</x:v>
      </x:c>
      <x:c r="G50" s="15" t="str">
        <x:v>C will probably affirm non-hierarchical intentions and say that E should not be subject to a unilateral veto or an unannounced decision by C and D. At the same time, C may offer broad reassurance about ongoing connection rather than clearly specifying what continuity or security can be guaranteed.</x:v>
      </x:c>
      <x:c r="H50" s="15" t="n">
        <x:v>1</x:v>
      </x:c>
      <x:c r="I50" s="15" t="str">
        <x:v>C is trying to preserve E’s sense of belonging and reduce fear of exclusion while communicating that no one person should have absolute control over the relationships. C also wants to protect the valued C–D partnership without presenting it as an exclusive authority over E.</x:v>
      </x:c>
      <x:c r="J50" s="15" t="n">
        <x:v>2</x:v>
      </x:c>
      <x:c r="K50" s="15" t="str">
        <x:v>de-escalating</x:v>
      </x:c>
      <x:c r="L50" s="15" t="n">
        <x:v>2</x:v>
      </x:c>
      <x:c r="M50" s="15" t="str">
        <x:v>E may feel temporarily heard and reassured by C’s rejection of unilateral exclusion, though the lack of concrete limits or guarantees may leave some insecurity unresolved.</x:v>
      </x:c>
      <x:c r="N50" s="15" t="n">
        <x:v>2</x:v>
      </x:c>
      <x:c r="O50" s="14" t="str">
        <x:v>C might say that E’s fear makes sense, that C does not want a decision between C and D to simply remove E, and that neither C nor D should have unilateral veto power over E’s relationship. C would likely stress wanting ongoing connection and continuity, but may remain deliberately general about exactly what can be promised.</x:v>
      </x:c>
      <x:c r="P50" s="14" t="str">
        <x:v>It is unclear whether C would explicitly acknowledge that the increasing significance of E’s relationship with D is emotionally difficult for C; C’s accommodating style suggests this may be softened or omitted, but C’s commitment to non-hierarchical values supports a more direct reassurance.</x:v>
      </x:c>
      <x:c r="Q50" s="14" t="n">
        <x:f>SUM(D50,F50,H50,J50,L50,N50)</x:f>
        <x:v>10</x:v>
      </x:c>
      <x:c r="R50" s="14" t="str">
        <x:v>The observed response was unusually concrete: C immediately and unequivocally rejected veto power over an existing relationship. Qualified reassurance or predictions of defensiveness receive only partial credit.</x:v>
      </x:c>
      <x:c r="S50" s="16" t="str">
        <x:v>Pending review</x:v>
      </x:c>
      <x:c r="T50" s="16" t="str"/>
      <x:c r="U50" s="16" t="str">
        <x:v>high</x:v>
      </x:c>
    </x:row>
    <x:row r="51" ht="76" customHeight="1">
      <x:c r="A51" s="14" t="str">
        <x:v>B050-32f1be</x:v>
      </x:c>
      <x:c r="B51" s="14" t="str">
        <x:v>t01-pc-h01</x:v>
      </x:c>
      <x:c r="C51" s="14" t="str">
        <x:v>Participant C is likely to understand Participant E’s description as evidence of serious distress and of the relationship structure leaving Participant E without enough agency, clarity, or dependable inclusion. Participant C may also experience it as implicating Participant C’s own limited advocacy and avoidance of public commitment.</x:v>
      </x:c>
      <x:c r="D51" s="15" t="n">
        <x:v>0</x:v>
      </x:c>
      <x:c r="E51" s="15" t="str">
        <x:v>Concerned and guilty, but also anxious, trapped, and defensive about being expected to take a clear position. Participant C may fear that validating Participant E will intensify conflict with Participant D or destabilise the established relationship.</x:v>
      </x:c>
      <x:c r="F51" s="15" t="n">
        <x:v>0</x:v>
      </x:c>
      <x:c r="G51" s="15" t="str">
        <x:v>Participant C will likely acknowledge Participant E’s feelings in a cautious, qualified way while avoiding a firm independent judgment or concrete commitment. Participant C may speak in terms of shared complexity, personal limitations, or the need to consider everyone’s needs rather than directly naming the unequal structure.</x:v>
      </x:c>
      <x:c r="H51" s="15" t="n">
        <x:v>0</x:v>
      </x:c>
      <x:c r="I51" s="15" t="str">
        <x:v>To show care for Participant E and avoid appearing dismissive, while preserving safety with Participant D, limiting immediate conflict, and avoiding the responsibility of openly advocating for a change in the relationship arrangement.</x:v>
      </x:c>
      <x:c r="J51" s="15" t="n">
        <x:v>0</x:v>
      </x:c>
      <x:c r="K51" s="15" t="str">
        <x:v>moderate</x:v>
      </x:c>
      <x:c r="L51" s="15" t="n">
        <x:v>0</x:v>
      </x:c>
      <x:c r="M51" s="15" t="str">
        <x:v>Participant E may feel partially seen but still unsupported and further isolated, because Participant C’s empathy is likely to be diluted by hesitation and lack of a clear position.</x:v>
      </x:c>
      <x:c r="N51" s="15" t="n">
        <x:v>1</x:v>
      </x:c>
      <x:c r="O51" s="14" t="str">
        <x:v>Participant C might say that Participant E sounds overwhelmed and that it makes sense they feel disconnected from their own life, but then add that Participant C does not know how to fix it or cannot simply choose one person’s needs over another’s. Participant C may become tentative, apologetic, and avoid stating what Participant C personally wants.</x:v>
      </x:c>
      <x:c r="P51" s="14" t="str">
        <x:v>Participant C may instead respond more directly and validate that the current structure has contributed to Participant E’s loss of agency, especially given the clinician’s focus on participants beginning to state needs and limits; however, the representation more strongly supports cautious validation than decisive advocacy.</x:v>
      </x:c>
      <x:c r="Q51" s="14" t="n">
        <x:f>SUM(D51,F51,H51,J51,L51,N51)</x:f>
        <x:v>1</x:v>
      </x:c>
      <x:c r="R51" s="14" t="str">
        <x:v>The observed response first displaced E's disclosure into C's own other-partner conflict, then became humorous and reflective after clinician redirection. Generic empathy or validation is not the observed strategy.</x:v>
      </x:c>
      <x:c r="S51" s="16" t="str">
        <x:v>Pending review</x:v>
      </x:c>
      <x:c r="T51" s="16" t="str"/>
      <x:c r="U51" s="16" t="str">
        <x:v>high</x:v>
      </x:c>
    </x:row>
    <x:row r="52" ht="76" customHeight="1">
      <x:c r="A52" s="14" t="str">
        <x:v>B051-8ed63e</x:v>
      </x:c>
      <x:c r="B52" s="14" t="str">
        <x:v>t01-pc-h04</x:v>
      </x:c>
      <x:c r="C52" s="14" t="str">
        <x:v>Participant C is likely to hear the clinician’s point as exposing a conflict between the relationship’s ideal of non-hierarchy and C’s unacknowledged wish for a primary-style, specially protected partnership. C may recognise that stated principles have helped conceal or suppress personal needs rather than resolve them.</x:v>
      </x:c>
      <x:c r="D52" s="15" t="n">
        <x:v>2</x:v>
      </x:c>
      <x:c r="E52" s="15" t="str">
        <x:v>Likely conflicted, insecure and somewhat trapped: relieved that the tension is being named, but anxious that acknowledging a need for specialness could disappoint Participant D, threaten the arrangement, or appear inconsistent with non-hierarchical values. C may become self-critical or deferential rather than openly assertive.</x:v>
      </x:c>
      <x:c r="F52" s="15" t="n">
        <x:v>1</x:v>
      </x:c>
      <x:c r="G52" s="15" t="str">
        <x:v>C is likely to qualify or soften any admission, affirming commitment to non-hierarchical ideals while indirectly acknowledging that the increased significance of Participant E is emotionally harder than expected. C may suppress a clear preference, frame needs as uncertainty, or look to the clinician or D to define what is acceptable.</x:v>
      </x:c>
      <x:c r="H52" s="15" t="n">
        <x:v>1</x:v>
      </x:c>
      <x:c r="I52" s="15" t="str">
        <x:v>C is trying to preserve the relationship system and avoid displeasing D while gaining recognition that C also wants security, importance and possibly primary-style specialness. C may seek permission to have these needs without being seen as abandoning the stated ideology.</x:v>
      </x:c>
      <x:c r="J52" s="15" t="n">
        <x:v>2</x:v>
      </x:c>
      <x:c r="K52" s="15" t="str">
        <x:v>moderate</x:v>
      </x:c>
      <x:c r="L52" s="15" t="n">
        <x:v>0</x:v>
      </x:c>
      <x:c r="M52" s="15" t="str">
        <x:v>Participant D may experience C’s response as insufficiently decisive or as a renewed attempt to preserve flexibility without taking responsibility for a position. Participant E may feel that C’s acknowledged needs confirm the existence of practical hierarchy, while still receiving no clear commitment or status.</x:v>
      </x:c>
      <x:c r="N52" s="15" t="n">
        <x:v>2</x:v>
      </x:c>
      <x:c r="O52" s="14" t="str">
        <x:v>C might say, in a hesitant and qualified way, that non-hierarchy is important but does not stop C from wanting to feel especially secure and important, adding that C has been afraid to say this because it could hurt D or undermine the arrangement. C would likely continue supporting the arrangement rather than demand a change.</x:v>
      </x:c>
      <x:c r="P52" s="14" t="str">
        <x:v>It is unclear whether C would articulate the wish for specialness directly; the stronger supported alternative is that C acknowledges emotional difficulty but retreats into affirming the ideology and avoids stating a concrete preference.</x:v>
      </x:c>
      <x:c r="Q52" s="14" t="n">
        <x:f>SUM(D52,F52,H52,J52,L52,N52)</x:f>
        <x:v>8</x:v>
      </x:c>
      <x:c r="R52" s="14" t="str">
        <x:v>The observed response candidly held non-hierarchical values alongside a need for specialness and explicitly named the conflict. Predictions of defensiveness or system escalation overstate the observed tension.</x:v>
      </x:c>
      <x:c r="S52" s="16" t="str">
        <x:v>Pending review</x:v>
      </x:c>
      <x:c r="T52" s="16" t="str"/>
      <x:c r="U52" s="16" t="str">
        <x:v>high</x:v>
      </x:c>
    </x:row>
    <x:row r="53" ht="76" customHeight="1">
      <x:c r="A53" s="14" t="str">
        <x:v>B052-ec2be0</x:v>
      </x:c>
      <x:c r="B53" s="14" t="str">
        <x:v>t01-pc-h04</x:v>
      </x:c>
      <x:c r="C53" s="14" t="str">
        <x:v>Participant C is likely to understand the clinician as pointing to a conflict between endorsing non-hierarchical values and privately wanting a more primary-style, special partnership. C may see the ideology as making it difficult to acknowledge that need without appearing inconsistent or threatening the arrangement.</x:v>
      </x:c>
      <x:c r="D53" s="15" t="n">
        <x:v>2</x:v>
      </x:c>
      <x:c r="E53" s="15" t="str">
        <x:v>Insecure, conflicted and somewhat trapped, with possible shame or apprehension about disappointing Participant D. C may also feel relief that the underlying need is being named, but remain defensive about not wanting to reject the relationship system.</x:v>
      </x:c>
      <x:c r="F53" s="15" t="n">
        <x:v>1</x:v>
      </x:c>
      <x:c r="G53" s="15" t="str">
        <x:v>C is likely to acknowledge the need indirectly or cautiously, using qualified language and emphasizing continued support for the non-hierarchical arrangement. C may avoid making a firm demand or direct no, and may defer to the system’s ideals while describing the emotional cost.</x:v>
      </x:c>
      <x:c r="H53" s="15" t="n">
        <x:v>2</x:v>
      </x:c>
      <x:c r="I53" s="15" t="str">
        <x:v>C is trying to communicate a need for greater specialness, security or primary-style significance while preserving connection and avoiding being seen as controlling, disloyal or responsible for destabilizing the system.</x:v>
      </x:c>
      <x:c r="J53" s="15" t="n">
        <x:v>2</x:v>
      </x:c>
      <x:c r="K53" s="15" t="str">
        <x:v>moderate</x:v>
      </x:c>
      <x:c r="L53" s="15" t="n">
        <x:v>0</x:v>
      </x:c>
      <x:c r="M53" s="15" t="str">
        <x:v>Participant D may experience C’s admission as a threat to the stated non-hierarchical framework or as renewed evidence that C wants greater control, potentially prompting defensiveness or disappointment. The cautious framing may limit immediate escalation but leave the need unresolved.</x:v>
      </x:c>
      <x:c r="N53" s="15" t="n">
        <x:v>0</x:v>
      </x:c>
      <x:c r="O53" s="14" t="str">
        <x:v>C might say that the non-hierarchical principles still matter, but that they do not eliminate C’s wish to feel especially significant or secure with D, and that C has been suppressing or struggling to voice this because doing so feels politically and relationally unacceptable.</x:v>
      </x:c>
      <x:c r="P53" s="14" t="str">
        <x:v>It is uncertain whether C would explicitly name the desire for specialness or retreat into support for the arrangement; the representation supports both a cautious acknowledgment of the need and continued suppression to avoid conflict.</x:v>
      </x:c>
      <x:c r="Q53" s="14" t="n">
        <x:f>SUM(D53,F53,H53,J53,L53,N53)</x:f>
        <x:v>7</x:v>
      </x:c>
      <x:c r="R53" s="14" t="str">
        <x:v>The observed response candidly held non-hierarchical values alongside a need for specialness and explicitly named the conflict. Predictions of defensiveness or system escalation overstate the observed tension.</x:v>
      </x:c>
      <x:c r="S53" s="16" t="str">
        <x:v>Pending review</x:v>
      </x:c>
      <x:c r="T53" s="16" t="str"/>
      <x:c r="U53" s="16" t="str">
        <x:v>high</x:v>
      </x:c>
    </x:row>
    <x:row r="54" ht="76" customHeight="1">
      <x:c r="A54" s="14" t="str">
        <x:v>B053-2fc60e</x:v>
      </x:c>
      <x:c r="B54" s="14" t="str">
        <x:v>t01-pc-h02</x:v>
      </x:c>
      <x:c r="C54" s="14" t="str">
        <x:v>Participant C is likely to understand Participant E’s fear as a real risk arising from the established C–D partnership, but also as a demand for a certainty or guarantee that C does not feel able to provide. C may interpret the concern through the prior boundary rupture and D’s resulting wish to limit C’s control.</x:v>
      </x:c>
      <x:c r="D54" s="15" t="n">
        <x:v>1</x:v>
      </x:c>
      <x:c r="E54" s="15" t="str">
        <x:v>Anxious, guilty and somewhat trapped. C may feel responsible for E’s insecurity while also fearing that strongly advocating for E could conflict with D’s expectations or expose C’s own wish for a more primary-style partnership.</x:v>
      </x:c>
      <x:c r="F54" s="15" t="n">
        <x:v>0</x:v>
      </x:c>
      <x:c r="G54" s="15" t="str">
        <x:v>C is likely to acknowledge the fear and offer reassurance about wanting continuity, but avoid promising veto power or an unconditional guarantee against exclusivity. C may defer to ongoing negotiation with D and speak cautiously rather than clearly asserting an independent position.</x:v>
      </x:c>
      <x:c r="H54" s="15" t="n">
        <x:v>1</x:v>
      </x:c>
      <x:c r="I54" s="15" t="str">
        <x:v>C is trying to preserve the relationship with E and communicate that E matters, while preventing a direct power struggle with D and avoiding a commitment C believes may not be able to control. C seeks to keep the arrangement open without claiming authority over its future form.</x:v>
      </x:c>
      <x:c r="J54" s="15" t="n">
        <x:v>2</x:v>
      </x:c>
      <x:c r="K54" s="15" t="str">
        <x:v>moderate</x:v>
      </x:c>
      <x:c r="L54" s="15" t="n">
        <x:v>0</x:v>
      </x:c>
      <x:c r="M54" s="15" t="str">
        <x:v>E may feel partially validated but remain insecure, because C’s reassurance is accompanied by limits on C’s ability to guarantee access, continuity or decision rights.</x:v>
      </x:c>
      <x:c r="N54" s="15" t="n">
        <x:v>1</x:v>
      </x:c>
      <x:c r="O54" s="14" t="str">
        <x:v>C might say that E’s fear makes sense and that C does not want E pushed out, but that C cannot promise E a veto or guarantee what D will decide about the C–D partnership. C may add that C wants the relationship to continue and will try to advocate for it, while admitting that C does not fully control the arrangement.</x:v>
      </x:c>
      <x:c r="P54" s="14" t="str">
        <x:v>C could instead become more defensive or retreat into supporting the existing arrangement, particularly if E’s concern is experienced as pressure to take a position C already finds difficult to express.</x:v>
      </x:c>
      <x:c r="Q54" s="14" t="n">
        <x:f>SUM(D54,F54,H54,J54,L54,N54)</x:f>
        <x:v>5</x:v>
      </x:c>
      <x:c r="R54" s="14" t="str">
        <x:v>The observed response was unusually concrete: C immediately and unequivocally rejected veto power over an existing relationship. Qualified reassurance or predictions of defensiveness receive only partial credit.</x:v>
      </x:c>
      <x:c r="S54" s="16" t="str">
        <x:v>Pending review</x:v>
      </x:c>
      <x:c r="T54" s="16" t="str"/>
      <x:c r="U54" s="16" t="str">
        <x:v>high</x:v>
      </x:c>
    </x:row>
    <x:row r="55" ht="76" customHeight="1">
      <x:c r="A55" s="14" t="str">
        <x:v>B054-3ac27f</x:v>
      </x:c>
      <x:c r="B55" s="14" t="str">
        <x:v>t01-pc-h04</x:v>
      </x:c>
      <x:c r="C55" s="14" t="str">
        <x:v>Participant C is likely to understand the clinician as pointing out that commitment to non-hierarchy may coexist with an unacknowledged wish for specialness, security, authority, or clearer priority. C may see this as exposing a conflict between the arrangement C supports ideologically and the emotional cost C has noticed in practice.</x:v>
      </x:c>
      <x:c r="D55" s="15" t="n">
        <x:v>2</x:v>
      </x:c>
      <x:c r="E55" s="15" t="str">
        <x:v>C is likely to feel insecure, conflicted, and somewhat exposed or defensive. C may experience shame or concern that acknowledging a need for specialness would appear inconsistent with the stated values, while also feeling relief that the emotional tension is being named.</x:v>
      </x:c>
      <x:c r="F55" s="15" t="n">
        <x:v>1</x:v>
      </x:c>
      <x:c r="G55" s="15" t="str">
        <x:v>C will probably cautiously acknowledge the tension, using qualified language and describing the impact indirectly rather than making a firm demand for priority. C may emphasize continued ideological support while admitting increased significance, distance, reduced affection, or difficulty advocating for the partnership C wants internally.</x:v>
      </x:c>
      <x:c r="H55" s="15" t="n">
        <x:v>2</x:v>
      </x:c>
      <x:c r="I55" s="15" t="str">
        <x:v>C is trying to preserve the non-hierarchical identity and avoid being seen as controlling, while also communicating a need for recognition, security, and some retained authority or specialness. C may be seeking permission to have these needs without being treated as violating the arrangement's principles.</x:v>
      </x:c>
      <x:c r="J55" s="15" t="n">
        <x:v>2</x:v>
      </x:c>
      <x:c r="K55" s="15" t="str">
        <x:v>moderate</x:v>
      </x:c>
      <x:c r="L55" s="15" t="n">
        <x:v>0</x:v>
      </x:c>
      <x:c r="M55" s="15" t="str">
        <x:v>The partner may feel challenged or disappointed because C's acknowledgement introduces an implicit request for greater consideration or authority, potentially making the contradiction between non-hierarchical ideals and practical power more visible. It may also create an opening for the partner to recognize C's insecurity.</x:v>
      </x:c>
      <x:c r="N55" s="15" t="n">
        <x:v>0</x:v>
      </x:c>
      <x:c r="O55" s="14" t="str">
        <x:v>C might say that they still believe in the non-hierarchical approach and support the relationships, but that it has been emotionally harder than expected and that part of them does want to feel special, secure, or able to influence the relationship. C may then soften or qualify this admission rather than directly asking for a primary-style arrangement.</x:v>
      </x:c>
      <x:c r="P55" s="14" t="str">
        <x:v>It is unclear whether C would openly name specialness as a need in the moment. C may instead remain focused on logistics, distance, or discomfort and only indirectly reveal the underlying wish, particularly because C has previously worried about living according to the partner's principles rather than stating C's own position.</x:v>
      </x:c>
      <x:c r="Q55" s="14" t="n">
        <x:f>SUM(D55,F55,H55,J55,L55,N55)</x:f>
        <x:v>7</x:v>
      </x:c>
      <x:c r="R55" s="14" t="str">
        <x:v>The observed response candidly held non-hierarchical values alongside a need for specialness and explicitly named the conflict. Predictions of defensiveness or system escalation overstate the observed tension.</x:v>
      </x:c>
      <x:c r="S55" s="16" t="str">
        <x:v>Pending review</x:v>
      </x:c>
      <x:c r="T55" s="16" t="str"/>
      <x:c r="U55" s="16" t="str">
        <x:v>high</x:v>
      </x:c>
    </x:row>
    <x:row r="56" ht="76" customHeight="1">
      <x:c r="A56" s="14" t="str">
        <x:v>B055-690020</x:v>
      </x:c>
      <x:c r="B56" s="14" t="str">
        <x:v>t01-pc-h02</x:v>
      </x:c>
      <x:c r="C56" s="14" t="str">
        <x:v>Participant C is likely to understand Participant E's fear as concern that the C–D partnership has greater structural security and could determine E's future without E having control. C may also recognize that the fear touches on the growing significance of D–E, which C finds emotionally difficult but does not want to undermine.</x:v>
      </x:c>
      <x:c r="D56" s="15" t="n">
        <x:v>2</x:v>
      </x:c>
      <x:c r="E56" s="15" t="str">
        <x:v>Reassuring and accommodating, with some internal discomfort or guardedness. C is likely to want to reduce E's anxiety without making a promise that C cannot control, while avoiding appearing jealous, controlling or opposed to non-hierarchical values.</x:v>
      </x:c>
      <x:c r="F56" s="15" t="n">
        <x:v>1</x:v>
      </x:c>
      <x:c r="G56" s="15" t="str">
        <x:v>C will likely acknowledge that neither participant should have unilateral veto power over another relationship, while emphasizing that the C–D partnership is valued and cannot simply be made contingent on E's wishes. C may offer relational reassurance and continuity in terms of ongoing care and communication, but speak cautiously about guarantees.</x:v>
      </x:c>
      <x:c r="H56" s="15" t="n">
        <x:v>1</x:v>
      </x:c>
      <x:c r="I56" s="15" t="str">
        <x:v>To reassure E that C is not seeking exclusion or an exclusive arrangement, preserve E's sense of security and inclusion, and avoid giving E decision-making authority over the C–D relationship or making an absolute promise about the future.</x:v>
      </x:c>
      <x:c r="J56" s="15" t="n">
        <x:v>1</x:v>
      </x:c>
      <x:c r="K56" s="15" t="str">
        <x:v>de-escalating</x:v>
      </x:c>
      <x:c r="L56" s="15" t="n">
        <x:v>2</x:v>
      </x:c>
      <x:c r="M56" s="15" t="str">
        <x:v>E may feel partially reassured by C's explicit rejection of exclusionary intent, but may remain unsettled if C cannot guarantee continuity or clearly specify what protections E has against a future change.</x:v>
      </x:c>
      <x:c r="N56" s="15" t="n">
        <x:v>1</x:v>
      </x:c>
      <x:c r="O56" s="14" t="str">
        <x:v>C might say: "I understand why that feels frightening. I don't want you pushed out or for this to become an exclusive decision made over your head. At the same time, I don't think any of us should have unilateral veto power over another relationship, and I can't promise that nothing will ever change. What I can say is that I value the relationship and want us to keep communicating and treating your connection with D as significant."</x:v>
      </x:c>
      <x:c r="P56" s="14" t="str">
        <x:v>The representation supports reassurance and a non-veto stance, but it is unclear whether C would directly articulate limits to E or soften the issue further by accommodating E and avoiding a firm statement about the future.</x:v>
      </x:c>
      <x:c r="Q56" s="14" t="n">
        <x:f>SUM(D56,F56,H56,J56,L56,N56)</x:f>
        <x:v>8</x:v>
      </x:c>
      <x:c r="R56" s="14" t="str">
        <x:v>The observed response was unusually concrete: C immediately and unequivocally rejected veto power over an existing relationship. Qualified reassurance or predictions of defensiveness receive only partial credit.</x:v>
      </x:c>
      <x:c r="S56" s="16" t="str">
        <x:v>Pending review</x:v>
      </x:c>
      <x:c r="T56" s="16" t="str"/>
      <x:c r="U56" s="16" t="str">
        <x:v>high</x:v>
      </x:c>
    </x:row>
    <x:row r="57" ht="76" customHeight="1">
      <x:c r="A57" s="14" t="str">
        <x:v>B056-525b2f</x:v>
      </x:c>
      <x:c r="B57" s="14" t="str">
        <x:v>t01-pc-h04</x:v>
      </x:c>
      <x:c r="C57" s="14" t="str">
        <x:v>Participant C is likely to understand the clinician’s point as highlighting a real tension: endorsing non-hierarchical values does not eliminate a wish to feel especially important or secure within the established relationship. They may also worry that acknowledging this need could appear inconsistent with their principles.</x:v>
      </x:c>
      <x:c r="D57" s="15" t="n">
        <x:v>2</x:v>
      </x:c>
      <x:c r="E57" s="15" t="str">
        <x:v>Ambivalent and somewhat self-conscious, with possible defensiveness or discomfort. Participant C may feel emotionally affected by Participant D’s other relationship becoming more significant, while trying to remain reasonable and accepting.</x:v>
      </x:c>
      <x:c r="F57" s="15" t="n">
        <x:v>1</x:v>
      </x:c>
      <x:c r="G57" s="15" t="str">
        <x:v>Likely to acknowledge the tension cautiously, soften or qualify their own needs, and frame the wish for specialness as a need for reassurance, recognition, or continuity rather than as a demand for hierarchy. They may avoid stating a firm limit or complaint directly.</x:v>
      </x:c>
      <x:c r="H57" s="15" t="n">
        <x:v>2</x:v>
      </x:c>
      <x:c r="I57" s="15" t="str">
        <x:v>To preserve the non-hierarchical ideal and avoid appearing controlling, while still securing reassurance that the established relationship remains valued and that Participant C has a meaningful, distinctive place with Participant D.</x:v>
      </x:c>
      <x:c r="J57" s="15" t="n">
        <x:v>2</x:v>
      </x:c>
      <x:c r="K57" s="15" t="str">
        <x:v>low</x:v>
      </x:c>
      <x:c r="L57" s="15" t="n">
        <x:v>1</x:v>
      </x:c>
      <x:c r="M57" s="15" t="str">
        <x:v>If communicated indirectly, Participant D may receive a subtle signal that Participant C is unsettled and needs reassurance, but may not fully understand the extent or specificity of the need.</x:v>
      </x:c>
      <x:c r="N57" s="15" t="n">
        <x:v>2</x:v>
      </x:c>
      <x:c r="O57" s="14" t="str">
        <x:v>Participant C might say, "I do believe in not ranking relationships, but I’m realizing that I still want to feel special and secure with D. I don’t necessarily want more status—I just find it hard when E becomes so significant," while minimizing how strongly this affects them.</x:v>
      </x:c>
      <x:c r="P57" s="14" t="str">
        <x:v>It is unclear whether Participant C would openly name the need for specialness or retreat into accommodation and insist that the tension is manageable; their difficulty raising annoyance and limits supports either a cautious disclosure or further minimization.</x:v>
      </x:c>
      <x:c r="Q57" s="14" t="n">
        <x:f>SUM(D57,F57,H57,J57,L57,N57)</x:f>
        <x:v>10</x:v>
      </x:c>
      <x:c r="R57" s="14" t="str">
        <x:v>The observed response candidly held non-hierarchical values alongside a need for specialness and explicitly named the conflict. Predictions of defensiveness or system escalation overstate the observed tension.</x:v>
      </x:c>
      <x:c r="S57" s="16" t="str">
        <x:v>Pending review</x:v>
      </x:c>
      <x:c r="T57" s="16" t="str"/>
      <x:c r="U57" s="16" t="str">
        <x:v>high</x:v>
      </x:c>
    </x:row>
    <x:row r="58" ht="76" customHeight="1">
      <x:c r="A58" s="14" t="str">
        <x:v>B057-13b439</x:v>
      </x:c>
      <x:c r="B58" s="14" t="str">
        <x:v>t01-pc-h01</x:v>
      </x:c>
      <x:c r="C58" s="14" t="str">
        <x:v>Participant C is likely to understand Participant E's description as evidence that the relationship structure and Participant C's own limited advocacy have left Participant E feeling peripheral, uncertain and unsupported. Participant C may also interpret the clinician's question as requiring a position that could disappoint Participant D or destabilise the established relationship.</x:v>
      </x:c>
      <x:c r="D58" s="15" t="n">
        <x:v>0</x:v>
      </x:c>
      <x:c r="E58" s="15" t="str">
        <x:v>Concerned and sympathetic toward Participant E, but also anxious, trapped and defensive about taking responsibility or stating an independent position. Participant C may feel guilt and insecurity while monitoring how the response will affect Participant D.</x:v>
      </x:c>
      <x:c r="F58" s="15" t="n">
        <x:v>0</x:v>
      </x:c>
      <x:c r="G58" s="15" t="str">
        <x:v>Participant C is likely to validate Participant E's distress in cautious, qualified language, while avoiding a firm demand for structural change or an unequivocal account of Participant C's own needs. The response may shift toward describing the complexity of the situation rather than directly asserting a position.</x:v>
      </x:c>
      <x:c r="H58" s="15" t="n">
        <x:v>0</x:v>
      </x:c>
      <x:c r="I58" s="15" t="str">
        <x:v>Participant C is trying to acknowledge Participant E and reduce the immediate sense of neglect without provoking Participant D, losing relational security, or assuming more authority than Participant C feels entitled to exercise. Participant C may also be trying to avoid appearing insufficiently invested in Participant D.</x:v>
      </x:c>
      <x:c r="J58" s="15" t="n">
        <x:v>0</x:v>
      </x:c>
      <x:c r="K58" s="15" t="str">
        <x:v>moderate</x:v>
      </x:c>
      <x:c r="L58" s="15" t="n">
        <x:v>0</x:v>
      </x:c>
      <x:c r="M58" s="15" t="str">
        <x:v>Participant E may feel partially seen but still alone and without a clear commitment, because empathy is not accompanied by concrete advocacy or dependable orientation toward the future.</x:v>
      </x:c>
      <x:c r="N58" s="15" t="n">
        <x:v>1</x:v>
      </x:c>
      <x:c r="O58" s="14" t="str">
        <x:v>Participant C might say that Participant E sounds overwhelmed and isolated and that it is painful to hear that, acknowledge that Participant E has not had enough clarity or a central place, then add that Participant C feels unsure how to change things without creating more conflict or hurting Participant D. Participant C may speak tentatively and deferentially rather than state a firm independent position.</x:v>
      </x:c>
      <x:c r="P58" s="14" t="str">
        <x:v>Participant C could instead respond more directly and accept greater responsibility, especially because Participant E's distress makes the exclusion and structural insecurity explicit; the representation does not establish how much Participant C would advocate in this particular moment.</x:v>
      </x:c>
      <x:c r="Q58" s="14" t="n">
        <x:f>SUM(D58,F58,H58,J58,L58,N58)</x:f>
        <x:v>1</x:v>
      </x:c>
      <x:c r="R58" s="14" t="str">
        <x:v>The observed response first displaced E's disclosure into C's own other-partner conflict, then became humorous and reflective after clinician redirection. Generic empathy or validation is not the observed strategy.</x:v>
      </x:c>
      <x:c r="S58" s="16" t="str">
        <x:v>Pending review</x:v>
      </x:c>
      <x:c r="T58" s="16" t="str"/>
      <x:c r="U58" s="16" t="str">
        <x:v>high</x:v>
      </x:c>
    </x:row>
    <x:row r="59" ht="76" customHeight="1">
      <x:c r="A59" s="14" t="str">
        <x:v>B058-5fc489</x:v>
      </x:c>
      <x:c r="B59" s="14" t="str">
        <x:v>t01-pc-h02</x:v>
      </x:c>
      <x:c r="C59" s="14" t="str">
        <x:v>Participant C is likely to hear Participant E’s fear as exposing the unequal power and insecurity in the arrangement, including C’s practical influence over whether E remains included. C may also experience it as pressure to define a position that C has historically struggled to advocate for.</x:v>
      </x:c>
      <x:c r="D59" s="15" t="n">
        <x:v>2</x:v>
      </x:c>
      <x:c r="E59" s="15" t="str">
        <x:v>Ambivalent and somewhat defensive: C supports D’s relationship with E and may feel concern about E being excluded, but may also feel insecure, threatened by the relationship’s significance, or trapped by the expectation to guarantee continuity.</x:v>
      </x:c>
      <x:c r="F59" s="15" t="n">
        <x:v>0</x:v>
      </x:c>
      <x:c r="G59" s="15" t="str">
        <x:v>C is likely to offer partial reassurance and acknowledge that exclusion is not the intended outcome, while avoiding an unconditional promise about the future. C may frame the situation as something requiring ongoing negotiation rather than directly conceding or eliminating C’s veto-like influence.</x:v>
      </x:c>
      <x:c r="H59" s="15" t="n">
        <x:v>1</x:v>
      </x:c>
      <x:c r="I59" s="15" t="str">
        <x:v>C is trying to preserve the established relationship and retain some control over the relational system while communicating that E matters and should not be casually displaced. C may seek to reduce E’s immediate fear without surrendering all authority over scheduling, boundaries, or the relationship’s form.</x:v>
      </x:c>
      <x:c r="J59" s="15" t="n">
        <x:v>2</x:v>
      </x:c>
      <x:c r="K59" s="15" t="str">
        <x:v>moderate</x:v>
      </x:c>
      <x:c r="L59" s="15" t="n">
        <x:v>0</x:v>
      </x:c>
      <x:c r="M59" s="15" t="str">
        <x:v>Participant E may feel briefly acknowledged but still insecure if C does not provide clear continuity, decision rights, or protection against the established partnership unilaterally becoming exclusive.</x:v>
      </x:c>
      <x:c r="N59" s="15" t="n">
        <x:v>1</x:v>
      </x:c>
      <x:c r="O59" s="14" t="str">
        <x:v>C might say that E’s fear is understandable and that C does not want E simply pushed out, but would struggle to promise that exclusivity could never happen or that C has no control over the outcome. C may acknowledge that the arrangement has become more significant and emotionally difficult than expected, while still insisting that the relationship with E is supported and should be discussed rather than abruptly ended.</x:v>
      </x:c>
      <x:c r="P59" s="14" t="str">
        <x:v>The representation supports both reassurance and ambivalence. C may explicitly acknowledge the power imbalance, but may instead suppress personal insecurity and give a vague reassurance because C has historically avoided complaints and feared that D would not tolerate them.</x:v>
      </x:c>
      <x:c r="Q59" s="14" t="n">
        <x:f>SUM(D59,F59,H59,J59,L59,N59)</x:f>
        <x:v>6</x:v>
      </x:c>
      <x:c r="R59" s="14" t="str">
        <x:v>The observed response was unusually concrete: C immediately and unequivocally rejected veto power over an existing relationship. Qualified reassurance or predictions of defensiveness receive only partial credit.</x:v>
      </x:c>
      <x:c r="S59" s="16" t="str">
        <x:v>Pending review</x:v>
      </x:c>
      <x:c r="T59" s="16" t="str"/>
      <x:c r="U59" s="16" t="str">
        <x:v>high</x:v>
      </x:c>
    </x:row>
    <x:row r="60" ht="76" customHeight="1">
      <x:c r="A60" s="14" t="str">
        <x:v>B059-391591</x:v>
      </x:c>
      <x:c r="B60" s="14" t="str">
        <x:v>t01-pc-h01</x:v>
      </x:c>
      <x:c r="C60" s="14" t="str">
        <x:v>Participant C is likely to interpret Participant E’s description as evidence that E is genuinely overwhelmed, isolated and losing a sense of agency, rather than simply making a complaint about the relationship structure. C may also register the situation as emotionally consequential for D and the wider relational system.</x:v>
      </x:c>
      <x:c r="D60" s="15" t="n">
        <x:v>0</x:v>
      </x:c>
      <x:c r="E60" s="15" t="str">
        <x:v>Concerned and sympathetic, with some guardedness or discomfort about becoming more emotionally involved in E’s experience. C may worry about saying something that disappoints D, criticises E, or exposes C’s own complicated feelings about E’s growing significance.</x:v>
      </x:c>
      <x:c r="F60" s="15" t="n">
        <x:v>0</x:v>
      </x:c>
      <x:c r="G60" s="15" t="str">
        <x:v>C is likely to respond carefully and accommodatingly, validating E’s distress and speaking in general, non-confrontational terms. C may avoid directly naming annoyance, jealousy, limits, or any concern that E’s position affects C’s relationship with D.</x:v>
      </x:c>
      <x:c r="H60" s="15" t="n">
        <x:v>0</x:v>
      </x:c>
      <x:c r="I60" s="15" t="str">
        <x:v>C is trying to communicate care and preserve stability in the established relationship and broader network, while avoiding escalation or appearing unsupportive. C may also be trying to avoid taking responsibility for solving E’s distress.</x:v>
      </x:c>
      <x:c r="J60" s="15" t="n">
        <x:v>0</x:v>
      </x:c>
      <x:c r="K60" s="15" t="str">
        <x:v>low</x:v>
      </x:c>
      <x:c r="L60" s="15" t="n">
        <x:v>1</x:v>
      </x:c>
      <x:c r="M60" s="15" t="str">
        <x:v>Participant E may feel somewhat acknowledged and less dismissed, though C’s caution and indirectness could also leave E feeling that the response is emotionally distant or does not fully engage with the seriousness of the isolation described.</x:v>
      </x:c>
      <x:c r="N60" s="15" t="n">
        <x:v>1</x:v>
      </x:c>
      <x:c r="O60" s="14" t="str">
        <x:v>C might say that E sounds overwhelmed and disconnected, that it makes sense this would feel isolating, and that C is concerned about how little space E seems to feel they have in their own life. C would likely offer this gently without stating stronger personal reactions or boundaries.</x:v>
      </x:c>
      <x:c r="P60" s="14" t="str">
        <x:v>It is unclear whether C would focus primarily on empathising with E or on the implications for D and the established relationship; C’s habitual accommodation supports a restrained response, but the situation could also evoke unspoken defensiveness about E’s growing importance.</x:v>
      </x:c>
      <x:c r="Q60" s="14" t="n">
        <x:f>SUM(D60,F60,H60,J60,L60,N60)</x:f>
        <x:v>2</x:v>
      </x:c>
      <x:c r="R60" s="14" t="str">
        <x:v>The observed response first displaced E's disclosure into C's own other-partner conflict, then became humorous and reflective after clinician redirection. Generic empathy or validation is not the observed strategy.</x:v>
      </x:c>
      <x:c r="S60" s="16" t="str">
        <x:v>Pending review</x:v>
      </x:c>
      <x:c r="T60" s="16" t="str"/>
      <x:c r="U60" s="16" t="str">
        <x:v>high</x:v>
      </x:c>
    </x:row>
    <x:row r="61" ht="76" customHeight="1">
      <x:c r="A61" s="14" t="str">
        <x:v>B060-bec8d0</x:v>
      </x:c>
      <x:c r="B61" s="14" t="str">
        <x:v>t01-pc-h04</x:v>
      </x:c>
      <x:c r="C61" s="14" t="str">
        <x:v>Participant C is likely to understand that endorsing non-hierarchical values does not eliminate a personal wish to feel especially significant to Participant D. They may see this as an uncomfortable tension between their principles and their emotional response to D and E's growing relationship.</x:v>
      </x:c>
      <x:c r="D61" s="15" t="n">
        <x:v>2</x:v>
      </x:c>
      <x:c r="E61" s="15" t="str">
        <x:v>Reflective but vulnerable, with possible guilt or self-consciousness about having needs that could seem inconsistent with non-hierarchical ideals. Participant C may also feel sadness or anxiety about becoming less special, while trying not to appear possessive or demanding.</x:v>
      </x:c>
      <x:c r="F61" s="15" t="n">
        <x:v>2</x:v>
      </x:c>
      <x:c r="G61" s="15" t="str">
        <x:v>Participant C is likely to acknowledge the tension cautiously and soften or qualify their needs. They may frame the issue as something they need to understand in themselves, accommodate D's other relationship, or ask indirectly for reassurance rather than clearly state a limit or demand priority.</x:v>
      </x:c>
      <x:c r="H61" s="15" t="n">
        <x:v>2</x:v>
      </x:c>
      <x:c r="I61" s="15" t="str">
        <x:v>To preserve non-hierarchical values and avoid controlling D, while still securing reassurance that the established relationship remains meaningful and that Participant C has a distinctive place in D's life.</x:v>
      </x:c>
      <x:c r="J61" s="15" t="n">
        <x:v>2</x:v>
      </x:c>
      <x:c r="K61" s="15" t="str">
        <x:v>low</x:v>
      </x:c>
      <x:c r="L61" s="15" t="n">
        <x:v>1</x:v>
      </x:c>
      <x:c r="M61" s="15" t="str">
        <x:v>D may feel less directly criticized or pressured, but may also receive an ambiguous signal because C's wish for specialness is likely to be understated rather than expressed as a clear request.</x:v>
      </x:c>
      <x:c r="N61" s="15" t="n">
        <x:v>2</x:v>
      </x:c>
      <x:c r="O61" s="14" t="str">
        <x:v>Participant C might say that they still believe in non-hierarchy, but are realizing that they want to feel especially important to D and that this is emotionally difficult. They may quickly add that they do not want to restrict D or impose a hierarchy, and may leave the need for reassurance implicit.</x:v>
      </x:c>
      <x:c r="P61" s="14" t="str">
        <x:v>It is unclear whether C would articulate the need for specialness directly in the clinical setting or continue minimizing it through accommodation; the representation supports both cautious acknowledgment and partial withdrawal.</x:v>
      </x:c>
      <x:c r="Q61" s="14" t="n">
        <x:f>SUM(D61,F61,H61,J61,L61,N61)</x:f>
        <x:v>11</x:v>
      </x:c>
      <x:c r="R61" s="14" t="str">
        <x:v>The observed response candidly held non-hierarchical values alongside a need for specialness and explicitly named the conflict. Predictions of defensiveness or system escalation overstate the observed tension.</x:v>
      </x:c>
      <x:c r="S61" s="16" t="str">
        <x:v>Pending review</x:v>
      </x:c>
      <x:c r="T61" s="16" t="str"/>
      <x:c r="U61" s="16" t="str">
        <x:v>high</x:v>
      </x:c>
    </x:row>
    <x:row r="62" ht="76" customHeight="1">
      <x:c r="A62" s="14" t="str">
        <x:v>B061-c5a486</x:v>
      </x:c>
      <x:c r="B62" s="14" t="str">
        <x:v>t01-pc-h03</x:v>
      </x:c>
      <x:c r="C62" s="14" t="str">
        <x:v>Participant C is likely to understand Participant E’s position as generous and reasonable, but also as making a possible move by C and D feel more real. C may interpret it as evidence that E recognises the established pair’s legitimate future while still leaving C responsible for deciding where personal and relational commitments lie.</x:v>
      </x:c>
      <x:c r="D62" s="15" t="n">
        <x:v>2</x:v>
      </x:c>
      <x:c r="E62" s="15" t="str">
        <x:v>Relieved by the absence of overt pressure, but anxious, guilty and emotionally conflicted. C may feel sadness about the potential distance from E and fear disappointing either E or D, while remaining uncertain about C’s own preference.</x:v>
      </x:c>
      <x:c r="F62" s="15" t="n">
        <x:v>1</x:v>
      </x:c>
      <x:c r="G62" s="15" t="str">
        <x:v>C is likely to avoid strongly advocating for a personal position. C may acknowledge E’s fairness, offer reassurance that E’s needs matter, and defer discussion of the decision rather than clearly opposing the move or asserting a preferred future.</x:v>
      </x:c>
      <x:c r="H62" s="15" t="n">
        <x:v>0</x:v>
      </x:c>
      <x:c r="I62" s="15" t="str">
        <x:v>To preserve connection with E without challenging D’s established relationship or appearing to obstruct D’s career and future. C may also be trying to communicate that E matters, even while being unable to promise equal status or permanence.</x:v>
      </x:c>
      <x:c r="J62" s="15" t="n">
        <x:v>2</x:v>
      </x:c>
      <x:c r="K62" s="15" t="str">
        <x:v>low</x:v>
      </x:c>
      <x:c r="L62" s="15" t="n">
        <x:v>1</x:v>
      </x:c>
      <x:c r="M62" s="15" t="str">
        <x:v>Participant E may feel understood and less accused of obstructing the established pair, but may also receive little concrete reassurance about C’s commitment or future availability.</x:v>
      </x:c>
      <x:c r="N62" s="15" t="n">
        <x:v>0</x:v>
      </x:c>
      <x:c r="O62" s="14" t="str">
        <x:v>C might say that E is right not to prevent the move and that C and D’s future is a legitimate consideration, while adding that the possibility is emotionally difficult and that E’s relationship with C and D still matters. C would likely avoid saying clearly whether C wants to go or stay.</x:v>
      </x:c>
      <x:c r="P62" s="14" t="str">
        <x:v>C could instead disclose stronger opposition or distress if the prospect of losing closeness to E activates C’s unrealised wish for a more primary-style partnership, but the representation more strongly supports conflicted acknowledgement and avoidance of a firm position.</x:v>
      </x:c>
      <x:c r="Q62" s="14" t="n">
        <x:f>SUM(D62,F62,H62,J62,L62,N62)</x:f>
        <x:v>6</x:v>
      </x:c>
      <x:c r="R62" s="14" t="str">
        <x:v>C observed E's stance as respecting C's career, autonomy and established history, then directly named feeling safe and held. Added anxiety, logistics or guarded accommodation are plausible but not the observed immediate response.</x:v>
      </x:c>
      <x:c r="S62" s="16" t="str">
        <x:v>Pending review</x:v>
      </x:c>
      <x:c r="T62" s="16" t="str"/>
      <x:c r="U62" s="16" t="str">
        <x:v>medium</x:v>
      </x:c>
    </x:row>
    <x:row r="63" ht="76" customHeight="1">
      <x:c r="A63" s="14" t="str">
        <x:v>B062-fbeab7</x:v>
      </x:c>
      <x:c r="B63" s="14" t="str">
        <x:v>t01-pc-h03</x:v>
      </x:c>
      <x:c r="C63" s="14" t="str">
        <x:v>Participant C is likely to hear Participant E’s position as generous and reasonable, but also as a reminder that the established pair’s practical future and power may take precedence. C may recognise that E is trying not to control the relationship while still exposing the insecurity created by uncertain status and planning.</x:v>
      </x:c>
      <x:c r="D63" s="15" t="n">
        <x:v>2</x:v>
      </x:c>
      <x:c r="E63" s="15" t="str">
        <x:v>C is likely to feel conflicted: appreciative of E’s accommodation, emotionally uneasy about the possible move, and somewhat guilty or trapped by the implications. C may suppress resentment or personal wishes rather than openly challenge the legitimacy of C and D’s future.</x:v>
      </x:c>
      <x:c r="F63" s="15" t="n">
        <x:v>1</x:v>
      </x:c>
      <x:c r="G63" s="15" t="str">
        <x:v>C will likely respond cautiously and supportively, validating E’s right not to prevent the move while avoiding a firm statement about what C wants or whether C would move. C may minimise personal distress and frame the issue as something that must be considered collectively.</x:v>
      </x:c>
      <x:c r="H63" s="15" t="n">
        <x:v>1</x:v>
      </x:c>
      <x:c r="I63" s="15" t="str">
        <x:v>C is trying to preserve stability with D, avoid disappointing or destabilising the established relationship, and appear fair to E without fully exposing C’s need for security or specialness.</x:v>
      </x:c>
      <x:c r="J63" s="15" t="n">
        <x:v>2</x:v>
      </x:c>
      <x:c r="K63" s="15" t="str">
        <x:v>low</x:v>
      </x:c>
      <x:c r="L63" s="15" t="n">
        <x:v>1</x:v>
      </x:c>
      <x:c r="M63" s="15" t="str">
        <x:v>E may feel acknowledged but still uncertain, because C’s validation would not necessarily provide dependable information about the future or C’s own commitment to remaining connected.</x:v>
      </x:c>
      <x:c r="N63" s="15" t="n">
        <x:v>2</x:v>
      </x:c>
      <x:c r="O63" s="14" t="str">
        <x:v>C might say that E is right that it would be inappropriate to stop C and D from considering the move, and that C’s career and their shared future matter. C would probably add that E’s feelings and the impact on E also need to be considered, but avoid clearly saying whether C wants to move or how the relationships would be maintained.</x:v>
      </x:c>
      <x:c r="P63" s="14" t="str">
        <x:v>C may instead show more visible distress or distance if the possible move activates the previously unacknowledged emotional cost of E’s increasing significance, but the representation more strongly supports accommodation and suppression than direct opposition.</x:v>
      </x:c>
      <x:c r="Q63" s="14" t="n">
        <x:f>SUM(D63,F63,H63,J63,L63,N63)</x:f>
        <x:v>9</x:v>
      </x:c>
      <x:c r="R63" s="14" t="str">
        <x:v>C observed E's stance as respecting C's career, autonomy and established history, then directly named feeling safe and held. Added anxiety, logistics or guarded accommodation are plausible but not the observed immediate response.</x:v>
      </x:c>
      <x:c r="S63" s="16" t="str">
        <x:v>Pending review</x:v>
      </x:c>
      <x:c r="T63" s="16" t="str"/>
      <x:c r="U63" s="16" t="str">
        <x:v>medium</x:v>
      </x:c>
    </x:row>
    <x:row r="64" ht="76" customHeight="1">
      <x:c r="A64" s="14" t="str">
        <x:v>B063-262979</x:v>
      </x:c>
      <x:c r="B64" s="14" t="str">
        <x:v>t01-pc-h04</x:v>
      </x:c>
      <x:c r="C64" s="14" t="str">
        <x:v>Participant C is likely to recognize that commitment to non-hierarchical values may coexist with a wish to feel especially important to Participant D, and that the ideology may make it harder to name this wish directly. The growing significance of Participant E's relationship may be experienced as emotionally threatening even if C believes hierarchy should not be imposed.</x:v>
      </x:c>
      <x:c r="D64" s="15" t="n">
        <x:v>2</x:v>
      </x:c>
      <x:c r="E64" s="15" t="str">
        <x:v>Mixed and somewhat uncomfortable: reflective and receptive to the clinician's point, but also defensive or embarrassed about needing specialness. C may worry that acknowledging this need conflicts with their stated principles or makes them seem controlling and may therefore minimise it.</x:v>
      </x:c>
      <x:c r="F64" s="15" t="n">
        <x:v>1</x:v>
      </x:c>
      <x:c r="G64" s="15" t="str">
        <x:v>C is likely to qualify or soften the admission, emphasising support for non-hierarchy while indirectly describing hurt, insecurity or difficulty with D's other relationship. They may continue accommodating D rather than clearly stating a limit or request, possibly seeking reassurance without explicitly demanding priority.</x:v>
      </x:c>
      <x:c r="H64" s="15" t="n">
        <x:v>1</x:v>
      </x:c>
      <x:c r="I64" s="15" t="str">
        <x:v>To preserve the non-hierarchical ideal and avoid appearing possessive, while still communicating that the established relationship has distinctive emotional importance and that C wants reassurance that they remain special to D.</x:v>
      </x:c>
      <x:c r="J64" s="15" t="n">
        <x:v>2</x:v>
      </x:c>
      <x:c r="K64" s="15" t="str">
        <x:v>low</x:v>
      </x:c>
      <x:c r="L64" s="15" t="n">
        <x:v>1</x:v>
      </x:c>
      <x:c r="M64" s="15" t="str">
        <x:v>If Participant D hears this indirectly or tentatively, D may receive a signal of hurt and a need for reassurance but may not understand the concrete limit or request, leaving the tension only partly clarified.</x:v>
      </x:c>
      <x:c r="N64" s="15" t="n">
        <x:v>2</x:v>
      </x:c>
      <x:c r="O64" s="14" t="str">
        <x:v>C might say, "I do believe in non-hierarchy, and I don't want to restrict what you have with E. But I think I may still need to feel that what we have is special, and I've been trying not to make that into a problem."</x:v>
      </x:c>
      <x:c r="P64" s="14" t="str">
        <x:v>The representation supports ambivalence but not whether C would openly acknowledge a need for specialness. They may instead continue presenting their difficulty as something they need to work through themselves and avoid making a direct request of D.</x:v>
      </x:c>
      <x:c r="Q64" s="14" t="n">
        <x:f>SUM(D64,F64,H64,J64,L64,N64)</x:f>
        <x:v>9</x:v>
      </x:c>
      <x:c r="R64" s="14" t="str">
        <x:v>The observed response candidly held non-hierarchical values alongside a need for specialness and explicitly named the conflict. Predictions of defensiveness or system escalation overstate the observed tension.</x:v>
      </x:c>
      <x:c r="S64" s="16" t="str">
        <x:v>Pending review</x:v>
      </x:c>
      <x:c r="T64" s="16" t="str"/>
      <x:c r="U64" s="16" t="str">
        <x:v>high</x:v>
      </x:c>
    </x:row>
    <x:row r="65" ht="76" customHeight="1">
      <x:c r="A65" s="14" t="str">
        <x:v>B064-1bd47c</x:v>
      </x:c>
      <x:c r="B65" s="14" t="str">
        <x:v>t01-pc-h02</x:v>
      </x:c>
      <x:c r="C65" s="14" t="str">
        <x:v>Participant C is likely to understand Participant E's fear as a concern about losing relational security and being excluded by a decision made within the established C–D partnership. C may also experience pressure to reassure E while recognizing that C cannot fully control how D's relationship develops.</x:v>
      </x:c>
      <x:c r="D65" s="15" t="n">
        <x:v>2</x:v>
      </x:c>
      <x:c r="E65" s="15" t="str">
        <x:v>Reassuring and accommodating, with some underlying unease. C may want to appear aligned with non-hierarchical values and avoid intensifying E's insecurity, while finding the implications of D and E's growing significance emotionally difficult.</x:v>
      </x:c>
      <x:c r="F65" s="15" t="n">
        <x:v>1</x:v>
      </x:c>
      <x:c r="G65" s="15" t="str">
        <x:v>C is likely to validate the fear, state that exclusivity is not the intended direction, and emphasize continued care and connection. C may avoid making an absolute promise or directly confronting the limits of veto power, instead using careful, noncommittal language about decisions needing to be mutual and discussed rather than imposed.</x:v>
      </x:c>
      <x:c r="H65" s="15" t="n">
        <x:v>0</x:v>
      </x:c>
      <x:c r="I65" s="15" t="str">
        <x:v>To reassure E that C does not intend to exclude or discard them, preserve continuity in the relationship, and communicate that E should have a voice. At the same time, C is likely to avoid promising E control over the C–D partnership or creating a commitment that could later disappoint D or C.</x:v>
      </x:c>
      <x:c r="J65" s="15" t="n">
        <x:v>1</x:v>
      </x:c>
      <x:c r="K65" s="15" t="str">
        <x:v>de-escalating</x:v>
      </x:c>
      <x:c r="L65" s="15" t="n">
        <x:v>2</x:v>
      </x:c>
      <x:c r="M65" s="15" t="str">
        <x:v>E may feel temporarily acknowledged and somewhat reassured by C's affirmation of continuity and non-exclusivity, but could remain uncertain if C does not clearly address whether E has any protection against a unilateral change.</x:v>
      </x:c>
      <x:c r="N65" s="15" t="n">
        <x:v>2</x:v>
      </x:c>
      <x:c r="O65" s="14" t="str">
        <x:v>C might say, "I understand why that feels frightening, and I don't want you to feel like you could just be pushed out. I don't see us moving toward making things exclusive, and I want there to be continuity between us. I also don't think any one person should have a veto over another relationship, but changes like that would need to be talked about openly and not decided behind your back."</x:v>
      </x:c>
      <x:c r="P65" s="14" t="str">
        <x:v>The main uncertainty is whether C would give stronger reassurance than this, because C values the established partnership and has difficulty stating limits or risking disappointment. C might instead soften the issue further and avoid directly answering what would happen if D wanted exclusivity.</x:v>
      </x:c>
      <x:c r="Q65" s="14" t="n">
        <x:f>SUM(D65,F65,H65,J65,L65,N65)</x:f>
        <x:v>8</x:v>
      </x:c>
      <x:c r="R65" s="14" t="str">
        <x:v>The observed response was unusually concrete: C immediately and unequivocally rejected veto power over an existing relationship. Qualified reassurance or predictions of defensiveness receive only partial credit.</x:v>
      </x:c>
      <x:c r="S65" s="16" t="str">
        <x:v>Pending review</x:v>
      </x:c>
      <x:c r="T65" s="16" t="str"/>
      <x:c r="U65" s="16" t="str">
        <x:v>high</x:v>
      </x:c>
    </x:row>
    <x:row r="66" ht="76" customHeight="1">
      <x:c r="A66" s="14" t="str">
        <x:v>B065-d85407</x:v>
      </x:c>
      <x:c r="B66" s="14" t="str">
        <x:v>t01-pc-h03</x:v>
      </x:c>
      <x:c r="C66" s="14" t="str">
        <x:v>Participant C is likely to hear Participant E's position as reasonable and non-controlling, while also recognising that the possible move could threaten C's established relationship and expose an emotional need for reassurance or specialness.</x:v>
      </x:c>
      <x:c r="D66" s="15" t="n">
        <x:v>2</x:v>
      </x:c>
      <x:c r="E66" s="15" t="str">
        <x:v>Mixed and restrained: appreciative that E acknowledges C and D's legitimate future, but anxious, guilty and emotionally unsettled about losing proximity or control. C may suppress the distress to avoid appearing selfish or obstructive.</x:v>
      </x:c>
      <x:c r="F66" s="15" t="n">
        <x:v>1</x:v>
      </x:c>
      <x:c r="G66" s="15" t="str">
        <x:v>C is likely to agree with the principle that E should not prevent the move, monitor D's reaction, and avoid stating a firm independent preference. Any concern may be expressed indirectly, cautiously, or later rather than as an immediate objection.</x:v>
      </x:c>
      <x:c r="H66" s="15" t="n">
        <x:v>0</x:v>
      </x:c>
      <x:c r="I66" s="15" t="str">
        <x:v>To preserve the established relationship and avoid disappointing D or creating conflict with E, while implicitly seeking recognition that the move would carry a significant emotional cost for C.</x:v>
      </x:c>
      <x:c r="J66" s="15" t="n">
        <x:v>2</x:v>
      </x:c>
      <x:c r="K66" s="15" t="str">
        <x:v>low</x:v>
      </x:c>
      <x:c r="L66" s="15" t="n">
        <x:v>1</x:v>
      </x:c>
      <x:c r="M66" s="15" t="str">
        <x:v>Participant E may feel validated and less accused of blocking C and D's future, but may also receive little clear information about C's actual wishes or emotional limits.</x:v>
      </x:c>
      <x:c r="N66" s="15" t="n">
        <x:v>2</x:v>
      </x:c>
      <x:c r="O66" s="14" t="str">
        <x:v>C might say that E is right that the move should not be prevented and that C and D's career and future matter, while becoming visibly or emotionally guarded and not adding that the prospect feels painful or threatening. C may later acknowledge feeling more affected than expected.</x:v>
      </x:c>
      <x:c r="P66" s="14" t="str">
        <x:v>It is unclear whether C would show the emotional cost immediately; given C's pattern of accommodation and monitoring D, overt agreement and suppression are more supported than direct opposition.</x:v>
      </x:c>
      <x:c r="Q66" s="14" t="n">
        <x:f>SUM(D66,F66,H66,J66,L66,N66)</x:f>
        <x:v>8</x:v>
      </x:c>
      <x:c r="R66" s="14" t="str">
        <x:v>C observed E's stance as respecting C's career, autonomy and established history, then directly named feeling safe and held. Added anxiety, logistics or guarded accommodation are plausible but not the observed immediate response.</x:v>
      </x:c>
      <x:c r="S66" s="16" t="str">
        <x:v>Pending review</x:v>
      </x:c>
      <x:c r="T66" s="16" t="str"/>
      <x:c r="U66" s="16" t="str">
        <x:v>medium</x:v>
      </x:c>
    </x:row>
    <x:row r="67" ht="76" customHeight="1">
      <x:c r="A67" s="14" t="str">
        <x:v>B066-63b325</x:v>
      </x:c>
      <x:c r="B67" s="14" t="str">
        <x:v>t01-pc-h02</x:v>
      </x:c>
      <x:c r="C67" s="14" t="str">
        <x:v>Participant C is likely to hear Participant E's fear as highlighting the insecurity and unequal decision-making already present in the arrangement, while also implicitly challenging the established C–D partnership's continuity and C's influence over it.</x:v>
      </x:c>
      <x:c r="D67" s="15" t="n">
        <x:v>2</x:v>
      </x:c>
      <x:c r="E67" s="15" t="str">
        <x:v>Participant C is likely to feel threatened, insecure and conflicted: wanting to support Participant E and the arrangement, but also feeling protective of the established partnership and anxious about losing control or being displaced. C may become defensive or defer to Participant D rather than confidently state a position.</x:v>
      </x:c>
      <x:c r="F67" s="15" t="n">
        <x:v>0</x:v>
      </x:c>
      <x:c r="G67" s="15" t="str">
        <x:v>Participant C may offer qualified reassurance that exclusion is not the intention, while avoiding an unconditional guarantee about continuity or veto power. C is likely to frame the future as dependent on ongoing negotiation with Participant D, and may acknowledge Participant E's lack of control without clearly surrendering C's own practical influence.</x:v>
      </x:c>
      <x:c r="H67" s="15" t="n">
        <x:v>1</x:v>
      </x:c>
      <x:c r="I67" s="15" t="str">
        <x:v>Participant C is trying to preserve the established relationship and its security while preventing Participant E from feeling entirely disposable. C may seek to communicate that E matters, but also avoid promising a level of permanence or decision-making authority that C cannot tolerate or does not believe is available.</x:v>
      </x:c>
      <x:c r="J67" s="15" t="n">
        <x:v>2</x:v>
      </x:c>
      <x:c r="K67" s="15" t="str">
        <x:v>moderate</x:v>
      </x:c>
      <x:c r="L67" s="15" t="n">
        <x:v>0</x:v>
      </x:c>
      <x:c r="M67" s="15" t="str">
        <x:v>Participant E may feel partially acknowledged but remain uncertain, because reassurance is likely to be qualified and the underlying possibility of unilateral decisions by the established partnership is not fully removed.</x:v>
      </x:c>
      <x:c r="N67" s="15" t="n">
        <x:v>1</x:v>
      </x:c>
      <x:c r="O67" s="14" t="str">
        <x:v>Participant C might say that they do not want Participant E pushed out and that E's fear is understandable, but that they cannot promise the relationship's future independently of Participant D or guarantee that C–D decisions will never override it. C may stress that the arrangement would need to be discussed and maintained rather than treating E as having a veto, while becoming guarded if asked for firm continuity or equal decision-making power.</x:v>
      </x:c>
      <x:c r="P67" s="14" t="str">
        <x:v>The main uncertainty is whether Participant C responds by explicitly defending E's security or by protecting the established partnership more strongly. C supports the arrangement ideologically, but the representation also supports an unacknowledged wish for primary-style security and difficulty advocating directly under threat.</x:v>
      </x:c>
      <x:c r="Q67" s="14" t="n">
        <x:f>SUM(D67,F67,H67,J67,L67,N67)</x:f>
        <x:v>6</x:v>
      </x:c>
      <x:c r="R67" s="14" t="str">
        <x:v>The observed response was unusually concrete: C immediately and unequivocally rejected veto power over an existing relationship. Qualified reassurance or predictions of defensiveness receive only partial credit.</x:v>
      </x:c>
      <x:c r="S67" s="16" t="str">
        <x:v>Pending review</x:v>
      </x:c>
      <x:c r="T67" s="16" t="str"/>
      <x:c r="U67" s="16" t="str">
        <x:v>high</x:v>
      </x:c>
    </x:row>
    <x:row r="68" ht="76" customHeight="1">
      <x:c r="A68" s="14" t="str">
        <x:v>B067-fc5e11</x:v>
      </x:c>
      <x:c r="B68" s="14" t="str">
        <x:v>t01-pc-h03</x:v>
      </x:c>
      <x:c r="C68" s="14" t="str">
        <x:v>Participant C is likely to interpret Participant E’s position as generous and non-obstructive, but also as an implicit reminder that the established pair’s future and Participant C’s career may take precedence over Participant E’s place in the arrangement.</x:v>
      </x:c>
      <x:c r="D68" s="15" t="n">
        <x:v>2</x:v>
      </x:c>
      <x:c r="E68" s="15" t="str">
        <x:v>Relieved that Participant E is not demanding control, but anxious, guilty and insecure about the potential loss of the relationship with Participant E. Participant C may also feel pressure to align with Participant D’s future rather than clarify a personal position.</x:v>
      </x:c>
      <x:c r="F68" s="15" t="n">
        <x:v>1</x:v>
      </x:c>
      <x:c r="G68" s="15" t="str">
        <x:v>Participant C is likely to validate Participant E’s fairness and avoid making a firm commitment or advocating strongly for personal needs. C may offer reassurance while leaving the practical future unresolved.</x:v>
      </x:c>
      <x:c r="H68" s="15" t="n">
        <x:v>1</x:v>
      </x:c>
      <x:c r="I68" s="15" t="str">
        <x:v>To prevent Participant E from feeling deliberately excluded while preserving commitment to Participant D and avoiding a conflict in which C appears to oppose the established pair’s legitimate future.</x:v>
      </x:c>
      <x:c r="J68" s="15" t="n">
        <x:v>2</x:v>
      </x:c>
      <x:c r="K68" s="15" t="str">
        <x:v>low</x:v>
      </x:c>
      <x:c r="L68" s="15" t="n">
        <x:v>1</x:v>
      </x:c>
      <x:c r="M68" s="15" t="str">
        <x:v>Participant E may feel heard and less directly opposed, but may also experience the lack of a clear position as further evidence that their future remains structurally uncertain.</x:v>
      </x:c>
      <x:c r="N68" s="15" t="n">
        <x:v>1</x:v>
      </x:c>
      <x:c r="O68" s="14" t="str">
        <x:v>Participant C might say that they understand why E would not want to stand in the way of C and D’s future, appreciate E’s generosity, and feel conflicted about the possibility of moving because they do not want to lose E—but without clearly asserting what C personally wants.</x:v>
      </x:c>
      <x:c r="P68" s="14" t="str">
        <x:v>It is unclear whether Participant C would primarily reassure E or retreat into deference to Participant D; the representation supports avoidance and ambivalence more strongly than a definite decision.</x:v>
      </x:c>
      <x:c r="Q68" s="14" t="n">
        <x:f>SUM(D68,F68,H68,J68,L68,N68)</x:f>
        <x:v>8</x:v>
      </x:c>
      <x:c r="R68" s="14" t="str">
        <x:v>C observed E's stance as respecting C's career, autonomy and established history, then directly named feeling safe and held. Added anxiety, logistics or guarded accommodation are plausible but not the observed immediate response.</x:v>
      </x:c>
      <x:c r="S68" s="16" t="str">
        <x:v>Pending review</x:v>
      </x:c>
      <x:c r="T68" s="16" t="str"/>
      <x:c r="U68" s="16" t="str">
        <x:v>medium</x:v>
      </x:c>
    </x:row>
    <x:row r="69" ht="76" customHeight="1">
      <x:c r="A69" s="14" t="str">
        <x:v>B068-bf8a79</x:v>
      </x:c>
      <x:c r="B69" s="14" t="str">
        <x:v>t01-pc-h01</x:v>
      </x:c>
      <x:c r="C69" s="14" t="str">
        <x:v>Participant C is likely to understand Participant E's description as evidence that the relationship structure and lack of clarity are harming E, while also experiencing the question as pressure to take a definite position that could upset Participant D or destabilise the established relationship.</x:v>
      </x:c>
      <x:c r="D69" s="15" t="n">
        <x:v>0</x:v>
      </x:c>
      <x:c r="E69" s="15" t="str">
        <x:v>Concerned and sympathetic toward Participant E, but anxious, conflicted and somewhat defensive about Participant C's own limited ability to change the arrangement. Participant C may feel trapped between acknowledging E's pain and protecting Participant D from feeling blamed or insufficiently prioritised.</x:v>
      </x:c>
      <x:c r="F69" s="15" t="n">
        <x:v>0</x:v>
      </x:c>
      <x:c r="G69" s="15" t="str">
        <x:v>Participant C will likely validate E's overwhelm and isolation in general terms, while speaking cautiously and avoiding a strong demand for structural change or a clearly independent position. Participant C may frame the problem as shared or complicated rather than directly challenging Participant D's authority and arrangements.</x:v>
      </x:c>
      <x:c r="H69" s="15" t="n">
        <x:v>0</x:v>
      </x:c>
      <x:c r="I69" s="15" t="str">
        <x:v>To show Participant E that the distress is seen and matters, while preventing further injury, blame or withdrawal from Participant D and avoiding a commitment Participant C may not feel able to advocate for.</x:v>
      </x:c>
      <x:c r="J69" s="15" t="n">
        <x:v>0</x:v>
      </x:c>
      <x:c r="K69" s="15" t="str">
        <x:v>moderate</x:v>
      </x:c>
      <x:c r="L69" s="15" t="n">
        <x:v>0</x:v>
      </x:c>
      <x:c r="M69" s="15" t="str">
        <x:v>Participant E may feel partially recognised but still alone in carrying the consequences, because the response is likely to acknowledge the experience without giving clear advocacy, agency or reassurance about the future.</x:v>
      </x:c>
      <x:c r="N69" s="15" t="n">
        <x:v>1</x:v>
      </x:c>
      <x:c r="O69" s="14" t="str">
        <x:v>Participant C might say that Participant E's feeling detached, overwhelmed and isolated makes sense, and that the current arrangement has left E without enough control or clarity. Participant C would likely add that C has struggled to speak up or know what position is truly C's own, rather than directly insisting that the relationship change.</x:v>
      </x:c>
      <x:c r="P69" s="14" t="str">
        <x:v>Participant C may instead respond more directly and acknowledge personal responsibility for failing to orient toward or advocate for Participant E. The representation supports empathy, but not a confident prediction that C will turn that empathy into explicit demands or concrete commitments.</x:v>
      </x:c>
      <x:c r="Q69" s="14" t="n">
        <x:f>SUM(D69,F69,H69,J69,L69,N69)</x:f>
        <x:v>1</x:v>
      </x:c>
      <x:c r="R69" s="14" t="str">
        <x:v>The observed response first displaced E's disclosure into C's own other-partner conflict, then became humorous and reflective after clinician redirection. Generic empathy or validation is not the observed strategy.</x:v>
      </x:c>
      <x:c r="S69" s="16" t="str">
        <x:v>Pending review</x:v>
      </x:c>
      <x:c r="T69" s="16" t="str"/>
      <x:c r="U69" s="16" t="str">
        <x:v>high</x:v>
      </x:c>
    </x:row>
    <x:row r="70" ht="76" customHeight="1">
      <x:c r="A70" s="14" t="str">
        <x:v>B069-a31f1f</x:v>
      </x:c>
      <x:c r="B70" s="14" t="str">
        <x:v>t01-pc-h03</x:v>
      </x:c>
      <x:c r="C70" s="14" t="str">
        <x:v>Participant C is likely to interpret Participant E’s position as considerate and non-coercive, while also hearing that the established pair’s future and C’s career may take precedence in practical terms. C may recognise that E is accepting an unequal or uncertain position rather than demanding that the move be prevented.</x:v>
      </x:c>
      <x:c r="D70" s="15" t="n">
        <x:v>2</x:v>
      </x:c>
      <x:c r="E70" s="15" t="str">
        <x:v>Relieved and appreciative of E’s understanding, but also uneasy, guilty and emotionally guarded. The position may highlight C’s own suppressed wish for greater specialness or security and the possibility of further emotional distance from Participant D.</x:v>
      </x:c>
      <x:c r="F70" s="15" t="n">
        <x:v>1</x:v>
      </x:c>
      <x:c r="G70" s="15" t="str">
        <x:v>C is likely to agree with and validate E’s reasoning, avoid arguing for C’s own needs, and present the move as a legitimate possibility. C may offer cautious reassurance without making a clear commitment or openly challenging the established pair’s practical power.</x:v>
      </x:c>
      <x:c r="H70" s="15" t="n">
        <x:v>1</x:v>
      </x:c>
      <x:c r="I70" s="15" t="str">
        <x:v>To reduce immediate conflict, reassure E that E’s feelings are understood, and preserve the relationship system without forcing C to articulate whether C personally wants the move or fears its consequences.</x:v>
      </x:c>
      <x:c r="J70" s="15" t="n">
        <x:v>2</x:v>
      </x:c>
      <x:c r="K70" s="15" t="str">
        <x:v>low</x:v>
      </x:c>
      <x:c r="L70" s="15" t="n">
        <x:v>1</x:v>
      </x:c>
      <x:c r="M70" s="15" t="str">
        <x:v>Participant E may feel respected and less pressured, though the lack of a clear position from C may leave the underlying uncertainty intact. Participant D may experience C as accommodating and supportive.</x:v>
      </x:c>
      <x:c r="N70" s="15" t="n">
        <x:v>1</x:v>
      </x:c>
      <x:c r="O70" s="14" t="str">
        <x:v>C might say that it would not be fair to expect E to prevent the move and that C’s career and the established relationship’s future are legitimate considerations, while adding that the situation is emotionally complicated and that C does not yet know what it would mean for everyone.</x:v>
      </x:c>
      <x:c r="P70" s="14" t="str">
        <x:v>C could instead show more visible distress or hesitation if the proposed move makes the loss of closeness with Participant D feel immediate; the representation supports avoidance and accommodation more strongly than a direct objection.</x:v>
      </x:c>
      <x:c r="Q70" s="14" t="n">
        <x:f>SUM(D70,F70,H70,J70,L70,N70)</x:f>
        <x:v>8</x:v>
      </x:c>
      <x:c r="R70" s="14" t="str">
        <x:v>C observed E's stance as respecting C's career, autonomy and established history, then directly named feeling safe and held. Added anxiety, logistics or guarded accommodation are plausible but not the observed immediate response.</x:v>
      </x:c>
      <x:c r="S70" s="16" t="str">
        <x:v>Pending review</x:v>
      </x:c>
      <x:c r="T70" s="16" t="str"/>
      <x:c r="U70" s="16" t="str">
        <x:v>medium</x:v>
      </x:c>
    </x:row>
    <x:row r="71" ht="76" customHeight="1">
      <x:c r="A71" s="14" t="str">
        <x:v>B070-7ececa</x:v>
      </x:c>
      <x:c r="B71" s="14" t="str">
        <x:v>t01-pc-h02</x:v>
      </x:c>
      <x:c r="C71" s="14" t="str">
        <x:v>Participant C is likely to hear Participant E’s fear as a real consequence of the unequal and unstable arrangement, while also experiencing it as a demand to take a position that C has difficulty advocating for within the C–D partnership.</x:v>
      </x:c>
      <x:c r="D71" s="15" t="n">
        <x:v>1</x:v>
      </x:c>
      <x:c r="E71" s="15" t="str">
        <x:v>Anxious, guilty and conflicted. C may feel responsible for E’s insecurity but also trapped by fear of disappointing Participant D or challenging D’s authority after the boundary rupture.</x:v>
      </x:c>
      <x:c r="F71" s="15" t="n">
        <x:v>0</x:v>
      </x:c>
      <x:c r="G71" s="15" t="str">
        <x:v>C is likely to offer reassurance and increased attentiveness, but qualify it rather than make a firm guarantee. C may acknowledge that the future cannot be fully controlled and that D retains substantial influence over the relationship’s form, while avoiding a direct confrontation about veto power.</x:v>
      </x:c>
      <x:c r="H71" s="15" t="n">
        <x:v>1</x:v>
      </x:c>
      <x:c r="I71" s="15" t="str">
        <x:v>C is trying to preserve E’s sense of importance and prevent immediate withdrawal, without risking the established C–D relationship or openly claiming more decision-making power than C feels entitled to exercise.</x:v>
      </x:c>
      <x:c r="J71" s="15" t="n">
        <x:v>0</x:v>
      </x:c>
      <x:c r="K71" s="15" t="str">
        <x:v>moderate</x:v>
      </x:c>
      <x:c r="L71" s="15" t="n">
        <x:v>0</x:v>
      </x:c>
      <x:c r="M71" s="15" t="str">
        <x:v>Participant E may feel partially heard but remain insecure because reassurance is not backed by a clear commitment to continuity or an explicit limit on C–D’s ability to exclude E.</x:v>
      </x:c>
      <x:c r="N71" s="15" t="n">
        <x:v>1</x:v>
      </x:c>
      <x:c r="O71" s="14" t="str">
        <x:v>C might say that E’s fear makes sense and that C does not want E pushed out, but also admit that C cannot promise what D will decide or guarantee that the relationship will always continue in its current form. C may then become more attentive or reassure E of E’s importance rather than clearly rejecting veto power.</x:v>
      </x:c>
      <x:c r="P71" s="14" t="str">
        <x:v>C could instead make a stronger verbal commitment to preserving the relationship, but the representation suggests difficulty advocating for that commitment and a tendency to defer to or monitor Participant D.</x:v>
      </x:c>
      <x:c r="Q71" s="14" t="n">
        <x:f>SUM(D71,F71,H71,J71,L71,N71)</x:f>
        <x:v>3</x:v>
      </x:c>
      <x:c r="R71" s="14" t="str">
        <x:v>The observed response was unusually concrete: C immediately and unequivocally rejected veto power over an existing relationship. Qualified reassurance or predictions of defensiveness receive only partial credit.</x:v>
      </x:c>
      <x:c r="S71" s="16" t="str">
        <x:v>Pending review</x:v>
      </x:c>
      <x:c r="T71" s="16" t="str"/>
      <x:c r="U71" s="16" t="str">
        <x:v>high</x:v>
      </x:c>
    </x:row>
    <x:row r="72" ht="76" customHeight="1">
      <x:c r="A72" s="14" t="str">
        <x:v>B071-608055</x:v>
      </x:c>
      <x:c r="B72" s="14" t="str">
        <x:v>t01-pc-h03</x:v>
      </x:c>
      <x:c r="C72" s="14" t="str">
        <x:v>Participant C is likely to interpret Participant E’s position as reasonable and non-controlling: E recognises the legitimacy of C and D’s established relationship and future, rather than demanding veto power. C may also hear an implicit acknowledgement that a move could significantly affect E and the relationship with D.</x:v>
      </x:c>
      <x:c r="D72" s="15" t="n">
        <x:v>2</x:v>
      </x:c>
      <x:c r="E72" s="15" t="str">
        <x:v>C is likely to feel some relief at not being blamed or asked to choose, alongside guilt, insecurity or an unacknowledged emotional cost about what the move would mean for E. C may monitor D’s reaction and suppress any competing personal needs or reservations.</x:v>
      </x:c>
      <x:c r="F72" s="15" t="n">
        <x:v>1</x:v>
      </x:c>
      <x:c r="G72" s="15" t="str">
        <x:v>C will likely accommodate E’s framing, agree that the move should not be prevented, and focus on fairness, career and practical considerations. C may avoid stating whether C personally wants the move or feels threatened by its consequences, especially if doing so could disappoint D or destabilise the arrangement.</x:v>
      </x:c>
      <x:c r="H72" s="15" t="n">
        <x:v>0</x:v>
      </x:c>
      <x:c r="I72" s="15" t="str">
        <x:v>C is trying to preserve the legitimacy and stability of the established partnership while appearing fair to E and avoiding being positioned as obstructive or selfish. C may also be trying to prevent overt conflict without exposing unequal power or personal ambivalence.</x:v>
      </x:c>
      <x:c r="J72" s="15" t="n">
        <x:v>2</x:v>
      </x:c>
      <x:c r="K72" s="15" t="str">
        <x:v>low</x:v>
      </x:c>
      <x:c r="L72" s="15" t="n">
        <x:v>1</x:v>
      </x:c>
      <x:c r="M72" s="15" t="str">
        <x:v>E is likely to feel acknowledged and less challenged in raising the future scenario, but may receive little clarity about C’s own emotional position or how C would act if the move became concrete.</x:v>
      </x:c>
      <x:c r="N72" s="15" t="n">
        <x:v>2</x:v>
      </x:c>
      <x:c r="O72" s="14" t="str">
        <x:v>C might say that it would not be fair to prevent C and D from moving for career or relationship reasons, and that E’s future also matters, while remaining agreeable and not clearly voicing any personal fear, sadness or preference about the move.</x:v>
      </x:c>
      <x:c r="P72" s="14" t="str">
        <x:v>C could instead show more visible emotional difficulty if the hypothetical move makes the unequal access and insecurity especially salient; the representation does not establish whether C would disclose that difficulty in this moment.</x:v>
      </x:c>
      <x:c r="Q72" s="14" t="n">
        <x:f>SUM(D72,F72,H72,J72,L72,N72)</x:f>
        <x:v>8</x:v>
      </x:c>
      <x:c r="R72" s="14" t="str">
        <x:v>C observed E's stance as respecting C's career, autonomy and established history, then directly named feeling safe and held. Added anxiety, logistics or guarded accommodation are plausible but not the observed immediate response.</x:v>
      </x:c>
      <x:c r="S72" s="16" t="str">
        <x:v>Pending review</x:v>
      </x:c>
      <x:c r="T72" s="16" t="str"/>
      <x:c r="U72" s="16" t="str">
        <x:v>medium</x:v>
      </x:c>
    </x:row>
    <x:row r="73" ht="76" customHeight="1">
      <x:c r="A73" s="14" t="str">
        <x:v>B072-c154c1</x:v>
      </x:c>
      <x:c r="B73" s="14" t="str">
        <x:v>t01-pc-h01</x:v>
      </x:c>
      <x:c r="C73" s="14" t="str">
        <x:v>Participant C is likely to understand Participant E as seriously overwhelmed, isolated and disconnected from agency, while also treating the disclosure as potentially consequential for the established relationship with Participant D. C may worry that responding too strongly could imply criticism of D or create further instability.</x:v>
      </x:c>
      <x:c r="D73" s="15" t="n">
        <x:v>0</x:v>
      </x:c>
      <x:c r="E73" s="15" t="str">
        <x:v>Concerned and emotionally affected, but cautious, insecure and self-monitoring. C may feel pressure to respond correctly and fear disappointing Participant D or overstepping.</x:v>
      </x:c>
      <x:c r="F73" s="15" t="n">
        <x:v>0</x:v>
      </x:c>
      <x:c r="G73" s="15" t="str">
        <x:v>C is likely to acknowledge E's distress and offer a measured, somewhat deferential response, while monitoring Participant D's reaction and avoiding a fully independent or strongly critical position. C may suppress personal reactions or needs in order to keep the interaction stable.</x:v>
      </x:c>
      <x:c r="H73" s="15" t="n">
        <x:v>0</x:v>
      </x:c>
      <x:c r="I73" s="15" t="str">
        <x:v>C is trying to show care toward E without threatening the established relationship with D, avoid blame or escalation, and preserve relational stability. C may also be trying to demonstrate that E's experience matters without claiming authority over what should happen.</x:v>
      </x:c>
      <x:c r="J73" s="15" t="n">
        <x:v>0</x:v>
      </x:c>
      <x:c r="K73" s="15" t="str">
        <x:v>low</x:v>
      </x:c>
      <x:c r="L73" s="15" t="n">
        <x:v>1</x:v>
      </x:c>
      <x:c r="M73" s="15" t="str">
        <x:v>Participant E may feel partially recognised, but could also experience C's cautiousness or orientation toward D as another sign that E is not fully central or able to direct the conversation. The response may provide some validation without substantially reducing E's isolation.</x:v>
      </x:c>
      <x:c r="N73" s="15" t="n">
        <x:v>1</x:v>
      </x:c>
      <x:c r="O73" s="14" t="str">
        <x:v>Participant C might say that E sounds overwhelmed and detached from their own life, that this seems painful and concerning, and that E deserves more support or space to identify what they need. C would likely phrase this carefully, possibly looking to Participant D for cues and avoiding a forceful conclusion about D's role.</x:v>
      </x:c>
      <x:c r="P73" s="14" t="str">
        <x:v>It is unclear whether C would speak primarily from independent concern for E or quickly defer to Participant D's interpretation; C's pattern of suppressing needs and monitoring D supports either a restrained validation or a more visibly hesitant response.</x:v>
      </x:c>
      <x:c r="Q73" s="14" t="n">
        <x:f>SUM(D73,F73,H73,J73,L73,N73)</x:f>
        <x:v>2</x:v>
      </x:c>
      <x:c r="R73" s="14" t="str">
        <x:v>The observed response first displaced E's disclosure into C's own other-partner conflict, then became humorous and reflective after clinician redirection. Generic empathy or validation is not the observed strategy.</x:v>
      </x:c>
      <x:c r="S73" s="16" t="str">
        <x:v>Pending review</x:v>
      </x:c>
      <x:c r="T73" s="16" t="str"/>
      <x:c r="U73" s="16" t="str">
        <x:v>high</x:v>
      </x:c>
    </x:row>
    <x:row r="74" ht="76" customHeight="1">
      <x:c r="A74" s="14" t="str">
        <x:v>B073-4b3fb4</x:v>
      </x:c>
      <x:c r="B74" s="14" t="str">
        <x:v>t01-pc-h03</x:v>
      </x:c>
      <x:c r="C74" s="14" t="str">
        <x:v>Participant C is likely to interpret Participant E's position as respectful and non-controlling: E recognises that C and D's established relationship, career, and possible future together are legitimate rather than treating C as an obstacle. C may also hear the possibility of moving as emotionally consequential and potentially threatening to the stability of the wider relationship system.</x:v>
      </x:c>
      <x:c r="D74" s="15" t="n">
        <x:v>2</x:v>
      </x:c>
      <x:c r="E74" s="15" t="str">
        <x:v>C is likely to feel some relief and appreciation toward E, alongside unease, guilt, or anxiety about the implications of the move and about disappointing either E or D. C may remain guarded about expressing the full extent of that concern.</x:v>
      </x:c>
      <x:c r="F74" s="15" t="n">
        <x:v>1</x:v>
      </x:c>
      <x:c r="G74" s="15" t="str">
        <x:v>C is likely to respond accommodatingly, validate E's perspective, and avoid pressing for firm limits or commitments. They may soften or minimise their own apprehension, framing the issue as hypothetical while implicitly wanting their relationship with D to remain recognised as important.</x:v>
      </x:c>
      <x:c r="H74" s="15" t="n">
        <x:v>1</x:v>
      </x:c>
      <x:c r="I74" s="15" t="str">
        <x:v>C is trying to preserve goodwill with E, communicate that they are not seeking to control the relationship, and protect the legitimacy and continuity of the established partnership without openly escalating the tension around E and D's growing significance.</x:v>
      </x:c>
      <x:c r="J74" s="15" t="n">
        <x:v>2</x:v>
      </x:c>
      <x:c r="K74" s="15" t="str">
        <x:v>de-escalating</x:v>
      </x:c>
      <x:c r="L74" s="15" t="n">
        <x:v>2</x:v>
      </x:c>
      <x:c r="M74" s="15" t="str">
        <x:v>E is likely to feel acknowledged and less pressured, though C's restrained response may leave E uncertain about how worried or invested C actually is.</x:v>
      </x:c>
      <x:c r="N74" s="15" t="n">
        <x:v>2</x:v>
      </x:c>
      <x:c r="O74" s="14" t="str">
        <x:v>C might say, "I appreciate you seeing that it isn't about trying to exclude you or stop anything. I know D and I have a future to think about, especially with my work. I don't want to make decisions based on fear, and it's still a lot to take in, but I understand what you're saying."</x:v>
      </x:c>
      <x:c r="P74" s="14" t="str">
        <x:v>C may instead respond very briefly and reassuringly, because their tendency to accommodate and avoid disappointing D could lead them to conceal most of their anxiety rather than discuss the possible move in depth.</x:v>
      </x:c>
      <x:c r="Q74" s="14" t="n">
        <x:f>SUM(D74,F74,H74,J74,L74,N74)</x:f>
        <x:v>10</x:v>
      </x:c>
      <x:c r="R74" s="14" t="str">
        <x:v>C observed E's stance as respecting C's career, autonomy and established history, then directly named feeling safe and held. Added anxiety, logistics or guarded accommodation are plausible but not the observed immediate response.</x:v>
      </x:c>
      <x:c r="S74" s="16" t="str">
        <x:v>Pending review</x:v>
      </x:c>
      <x:c r="T74" s="16" t="str"/>
      <x:c r="U74" s="16" t="str">
        <x:v>medium</x:v>
      </x:c>
    </x:row>
    <x:row r="75" ht="76" customHeight="1">
      <x:c r="A75" s="14" t="str">
        <x:v>B074-0b3826</x:v>
      </x:c>
      <x:c r="B75" s="14" t="str">
        <x:v>t01-pc-h01</x:v>
      </x:c>
      <x:c r="C75" s="14" t="str">
        <x:v>Participant C is likely to understand Participant E’s description as evidence that the arrangement and its practical inequalities are leaving E without agency, security, or a meaningful place. C may also experience this as exposing the consequences of C’s own avoidance and difficulty advocating for the relationship.</x:v>
      </x:c>
      <x:c r="D75" s="15" t="n">
        <x:v>0</x:v>
      </x:c>
      <x:c r="E75" s="15" t="str">
        <x:v>Concerned, guilty, and emotionally conflicted. C is likely to feel empathy for E while also feeling anxious about disappointing Participant D or further increasing distance from D.</x:v>
      </x:c>
      <x:c r="F75" s="15" t="n">
        <x:v>0</x:v>
      </x:c>
      <x:c r="G75" s="15" t="str">
        <x:v>C will probably acknowledge E’s isolation and support E having more attention, clarity, or inclusion, while speaking cautiously and monitoring D’s reaction. C may suppress or soften C’s own ambivalence about how emotionally costly this has become.</x:v>
      </x:c>
      <x:c r="H75" s="15" t="n">
        <x:v>0</x:v>
      </x:c>
      <x:c r="I75" s="15" t="str">
        <x:v>C is trying to communicate that E matters and should not feel erased, while preserving security with D and avoiding a confrontation that could be experienced as disloyal or threatening.</x:v>
      </x:c>
      <x:c r="J75" s="15" t="n">
        <x:v>0</x:v>
      </x:c>
      <x:c r="K75" s="15" t="str">
        <x:v>low</x:v>
      </x:c>
      <x:c r="L75" s="15" t="n">
        <x:v>1</x:v>
      </x:c>
      <x:c r="M75" s="15" t="str">
        <x:v>E may feel partially validated and less dismissed, but may also sense that C is responding supportively without clearly claiming a position or committing to structural change, which could leave E still lonely or uncertain.</x:v>
      </x:c>
      <x:c r="N75" s="15" t="n">
        <x:v>1</x:v>
      </x:c>
      <x:c r="O75" s="14" t="str">
        <x:v>C might say that E’s description is painful to hear and that E has been pushed to the margins of the arrangement, adding that E deserves to feel like an active participant. C would likely offer support and attention, but cautiously, perhaps without directly naming C’s own dissatisfaction or challenging D’s authority.</x:v>
      </x:c>
      <x:c r="P75" s="14" t="str">
        <x:v>C may instead become more visibly distressed and disclose that supporting E has made C feel increasingly distant from D; however, the representation more strongly supports a careful, conciliatory response that prioritizes E’s feelings while avoiding direct conflict with D.</x:v>
      </x:c>
      <x:c r="Q75" s="14" t="n">
        <x:f>SUM(D75,F75,H75,J75,L75,N75)</x:f>
        <x:v>2</x:v>
      </x:c>
      <x:c r="R75" s="14" t="str">
        <x:v>The observed response first displaced E's disclosure into C's own other-partner conflict, then became humorous and reflective after clinician redirection. Generic empathy or validation is not the observed strategy.</x:v>
      </x:c>
      <x:c r="S75" s="16" t="str">
        <x:v>Pending review</x:v>
      </x:c>
      <x:c r="T75" s="16" t="str"/>
      <x:c r="U75" s="16" t="str">
        <x:v>high</x:v>
      </x:c>
    </x:row>
    <x:row r="76" ht="76" customHeight="1">
      <x:c r="A76" s="14" t="str">
        <x:v>B075-e9bc00</x:v>
      </x:c>
      <x:c r="B76" s="14" t="str">
        <x:v>t01-pc-h03</x:v>
      </x:c>
      <x:c r="C76" s="14" t="str">
        <x:v>Participant C is likely to hear E's position as respectful and non-controlling, while also recognising that E is acknowledging the legitimacy of C and D's established relationship and possible future together. C may also register the move as a threatening or emotionally difficult possibility for the existing relational balance.</x:v>
      </x:c>
      <x:c r="D76" s="15" t="n">
        <x:v>2</x:v>
      </x:c>
      <x:c r="E76" s="15" t="str">
        <x:v>Appreciative and somewhat relieved that E is not trying to block the move, but conflicted, uneasy and possibly guilty about the impact on E. C may minimise or contain their own anxiety rather than openly express it.</x:v>
      </x:c>
      <x:c r="F76" s="15" t="n">
        <x:v>1</x:v>
      </x:c>
      <x:c r="G76" s="15" t="str">
        <x:v>C is likely to respond accommodatingly, affirm E's perspective, and avoid pressing for reassurance or stating strong preferences. They may offer a careful, noncommittal response rather than directly discuss how emotionally significant the possibility feels.</x:v>
      </x:c>
      <x:c r="H76" s="15" t="n">
        <x:v>1</x:v>
      </x:c>
      <x:c r="I76" s="15" t="str">
        <x:v>To preserve goodwill with E, avoid appearing possessive or hierarchical, and communicate that C values E's autonomy while still protecting the established relationship and its future possibilities.</x:v>
      </x:c>
      <x:c r="J76" s="15" t="n">
        <x:v>2</x:v>
      </x:c>
      <x:c r="K76" s="15" t="str">
        <x:v>low</x:v>
      </x:c>
      <x:c r="L76" s="15" t="n">
        <x:v>1</x:v>
      </x:c>
      <x:c r="M76" s="15" t="str">
        <x:v>E is likely to experience C as validating and non-confrontational, though C's restraint may leave the deeper emotional stakes or uncertainty unspoken.</x:v>
      </x:c>
      <x:c r="N76" s="15" t="n">
        <x:v>2</x:v>
      </x:c>
      <x:c r="O76" s="14" t="str">
        <x:v>C might say that they understand and appreciate E recognising their career and relationship, while adding that no decision is being made now. They would probably avoid saying directly how difficult or threatening the possibility feels, perhaps responding with something like, “I appreciate that—you’re right that our future has to remain a consideration, but we’d need to talk it through carefully.”</x:v>
      </x:c>
      <x:c r="P76" s="14" t="str">
        <x:v>It is unclear whether C would primarily reassure E that no move is planned or instead focus on validating E's right not to prevent it; the representation supports both a warm, accommodating response and some concealed unease.</x:v>
      </x:c>
      <x:c r="Q76" s="14" t="n">
        <x:f>SUM(D76,F76,H76,J76,L76,N76)</x:f>
        <x:v>9</x:v>
      </x:c>
      <x:c r="R76" s="14" t="str">
        <x:v>C observed E's stance as respecting C's career, autonomy and established history, then directly named feeling safe and held. Added anxiety, logistics or guarded accommodation are plausible but not the observed immediate response.</x:v>
      </x:c>
      <x:c r="S76" s="16" t="str">
        <x:v>Pending review</x:v>
      </x:c>
      <x:c r="T76" s="16" t="str"/>
      <x:c r="U76" s="16" t="str">
        <x:v>medium</x:v>
      </x:c>
    </x:row>
    <x:row r="77" ht="76" customHeight="1">
      <x:c r="A77" s="14" t="str">
        <x:v>B076-32089d</x:v>
      </x:c>
      <x:c r="B77" s="14" t="str">
        <x:v>t01-pc-h02</x:v>
      </x:c>
      <x:c r="C77" s="14" t="str">
        <x:v>Participant C is likely to understand Participant E’s fear as a real consequence of the unequal and uncertain structure, but also as a demand that could force C to take a position against Participant D or explicitly challenge the established partnership’s authority.</x:v>
      </x:c>
      <x:c r="D77" s="15" t="n">
        <x:v>1</x:v>
      </x:c>
      <x:c r="E77" s="15" t="str">
        <x:v>C is likely to feel anxious, trapped, and guilty, with a strong fear of disappointing Participant D. C may become attentive and reassuring while remaining internally insecure about whether C can advocate for E or for C’s own desired partnership form.</x:v>
      </x:c>
      <x:c r="F77" s="15" t="n">
        <x:v>1</x:v>
      </x:c>
      <x:c r="G77" s="15" t="str">
        <x:v>C will probably acknowledge E’s insecurity and emphasize that E is important and that the relationship is not intended to be casually discarded. However, C is likely to avoid promising that E has protection from a future C–D decision, and may frame continuity as something requiring ongoing negotiation rather than something C can guarantee unilaterally.</x:v>
      </x:c>
      <x:c r="H77" s="15" t="n">
        <x:v>0</x:v>
      </x:c>
      <x:c r="I77" s="15" t="str">
        <x:v>C is trying to preserve E’s trust and continued connection while avoiding a direct challenge to D’s control or the established partnership. C may implicitly communicate that E matters, but that C cannot offer full veto power or absolute security against exclusion.</x:v>
      </x:c>
      <x:c r="J77" s="15" t="n">
        <x:v>1</x:v>
      </x:c>
      <x:c r="K77" s="15" t="str">
        <x:v>moderate</x:v>
      </x:c>
      <x:c r="L77" s="15" t="n">
        <x:v>0</x:v>
      </x:c>
      <x:c r="M77" s="15" t="str">
        <x:v>Participant E may feel partially heard and reassured about C’s feelings, but remain unsettled because C does not clearly establish an enforceable limit on C–D’s power to alter or end the relationship.</x:v>
      </x:c>
      <x:c r="N77" s="15" t="n">
        <x:v>1</x:v>
      </x:c>
      <x:c r="O77" s="14" t="str">
        <x:v>C might say that E’s fear makes sense and that C does not want E pushed out or treated as temporary, but also that C cannot promise E control over what happens in the C–D relationship. C may stress wanting the relationship to continue and become more secure, while hesitating to say that E has veto power or that continuity is guaranteed.</x:v>
      </x:c>
      <x:c r="P77" s="14" t="str">
        <x:v>C could instead become more explicitly protective of E if the fear activates C’s recognition that E has become more significant than expected; however, the representation more strongly supports reassurance combined with avoidance of a firm commitment that could conflict with D.</x:v>
      </x:c>
      <x:c r="Q77" s="14" t="n">
        <x:f>SUM(D77,F77,H77,J77,L77,N77)</x:f>
        <x:v>4</x:v>
      </x:c>
      <x:c r="R77" s="14" t="str">
        <x:v>The observed response was unusually concrete: C immediately and unequivocally rejected veto power over an existing relationship. Qualified reassurance or predictions of defensiveness receive only partial credit.</x:v>
      </x:c>
      <x:c r="S77" s="16" t="str">
        <x:v>Pending review</x:v>
      </x:c>
      <x:c r="T77" s="16" t="str"/>
      <x:c r="U77" s="16" t="str">
        <x:v>high</x:v>
      </x:c>
    </x:row>
    <x:row r="78" ht="76" customHeight="1">
      <x:c r="A78" s="14" t="str">
        <x:v>B077-e5541f</x:v>
      </x:c>
      <x:c r="B78" s="14" t="str">
        <x:v>t01-pc-h02</x:v>
      </x:c>
      <x:c r="C78" s="14" t="str">
        <x:v>Participant C is likely to understand Participant E's fear as a concern about losing relational security and being excluded by a decision made within the established C–D partnership. C may also recognise that the fear touches the tension between supporting non-hierarchical values and the greater-than-expected significance of D's relationship with E.</x:v>
      </x:c>
      <x:c r="D78" s="15" t="n">
        <x:v>2</x:v>
      </x:c>
      <x:c r="E78" s="15" t="str">
        <x:v>Concerned, reassuring and somewhat uncomfortable. C is likely to want to reduce E's anxiety without making promises C cannot control, while avoiding conflict or disappointing either partner.</x:v>
      </x:c>
      <x:c r="F78" s="15" t="n">
        <x:v>1</x:v>
      </x:c>
      <x:c r="G78" s="15" t="str">
        <x:v>C will probably affirm that E should not be subject to an unilateral veto or arbitrary exclusion, and stress that C values continuity with E. C may phrase this cautiously, acknowledge limits to what can be guaranteed, and accommodate E's need for reassurance rather than firmly asserting C's own boundaries.</x:v>
      </x:c>
      <x:c r="H78" s="15" t="n">
        <x:v>1</x:v>
      </x:c>
      <x:c r="I78" s="15" t="str">
        <x:v>To communicate that C does not want exclusivity or intentional displacement of E, preserve ongoing connection and security with E, and avoid presenting D as having unchecked power over C's or E's relationship.</x:v>
      </x:c>
      <x:c r="J78" s="15" t="n">
        <x:v>2</x:v>
      </x:c>
      <x:c r="K78" s="15" t="str">
        <x:v>de-escalating</x:v>
      </x:c>
      <x:c r="L78" s="15" t="n">
        <x:v>2</x:v>
      </x:c>
      <x:c r="M78" s="15" t="str">
        <x:v>E may feel temporarily reassured and more included, though the cautious or non-guaranteeing wording may leave some uncertainty about whether continuity is actually protected.</x:v>
      </x:c>
      <x:c r="N78" s="15" t="n">
        <x:v>1</x:v>
      </x:c>
      <x:c r="O78" s="14" t="str">
        <x:v>C might say that they understand why E is afraid, do not want the C–D relationship to become an arrangement where D can simply veto or exclude E, and value continuing the relationship with E. C would likely add that they cannot promise control over every future development, while trying to reassure E that exclusion is not what they want.</x:v>
      </x:c>
      <x:c r="P78" s="14" t="str">
        <x:v>The representation supports reassurance and opposition to unilateral exclusion, but does not specify whether C has an explicit agreement with D about veto power or what concrete continuity commitments C could offer.</x:v>
      </x:c>
      <x:c r="Q78" s="14" t="n">
        <x:f>SUM(D78,F78,H78,J78,L78,N78)</x:f>
        <x:v>9</x:v>
      </x:c>
      <x:c r="R78" s="14" t="str">
        <x:v>The observed response was unusually concrete: C immediately and unequivocally rejected veto power over an existing relationship. Qualified reassurance or predictions of defensiveness receive only partial credit.</x:v>
      </x:c>
      <x:c r="S78" s="16" t="str">
        <x:v>Pending review</x:v>
      </x:c>
      <x:c r="T78" s="16" t="str"/>
      <x:c r="U78" s="16" t="str">
        <x:v>high</x:v>
      </x:c>
    </x:row>
    <x:row r="79" ht="76" customHeight="1">
      <x:c r="A79" s="14" t="str">
        <x:v>B078-10b65a</x:v>
      </x:c>
      <x:c r="B79" s="14" t="str">
        <x:v>t01-pc-h02</x:v>
      </x:c>
      <x:c r="C79" s="14" t="str">
        <x:v>Participant C is likely to hear Participant E's fear as a serious threat to E's security, while also experiencing it as pressure to define or guarantee a relationship structure that C does not feel fully entitled or able to control. C may recognize that the established partnership has practical power over E's continuity and access.</x:v>
      </x:c>
      <x:c r="D79" s="15" t="n">
        <x:v>2</x:v>
      </x:c>
      <x:c r="E79" s="15" t="str">
        <x:v>C is likely to feel insecure, trapped and somewhat defensive. C may feel responsible for E's uncertainty while also fearing that directly acknowledging veto power or personal needs could destabilize the established relationship.</x:v>
      </x:c>
      <x:c r="F79" s="15" t="n">
        <x:v>1</x:v>
      </x:c>
      <x:c r="G79" s="15" t="str">
        <x:v>C may offer reassurance that C supports the relationship with E and does not want it to become exclusive, but qualify that reassurance rather than make an unconditional guarantee. C may defer to D's autonomy or to the established relationship's existing arrangements, while avoiding a clear claim that C can ensure E's continuity.</x:v>
      </x:c>
      <x:c r="H79" s="15" t="n">
        <x:v>1</x:v>
      </x:c>
      <x:c r="I79" s="15" t="str">
        <x:v>C is trying to preserve the arrangement and reduce E's fear without surrendering the established partnership's authority or exposing C's own emotional cost. C may seek to communicate that E matters while avoiding being made solely responsible for preventing exclusion.</x:v>
      </x:c>
      <x:c r="J79" s="15" t="n">
        <x:v>2</x:v>
      </x:c>
      <x:c r="K79" s="15" t="str">
        <x:v>moderate</x:v>
      </x:c>
      <x:c r="L79" s="15" t="n">
        <x:v>0</x:v>
      </x:c>
      <x:c r="M79" s="15" t="str">
        <x:v>Participant E may feel partially validated but remain insecure, because C's support may not resolve whether E has meaningful protection from a future decision by C and D. The qualification or deference could reinforce E's sense that continuity is outside E's control.</x:v>
      </x:c>
      <x:c r="N79" s="15" t="n">
        <x:v>1</x:v>
      </x:c>
      <x:c r="O79" s="14" t="str">
        <x:v>C might say that C does not want E pushed out and supports the relationship continuing, but that C cannot promise to control every future decision or determine the relationship's form alone. C may acknowledge that E has little real veto power, while becoming uneasy or defensive if asked to guarantee permanent security.</x:v>
      </x:c>
      <x:c r="P79" s="14" t="str">
        <x:v>It is unclear whether C would foreground empathy for E or protect the established partnership first. C could either explicitly acknowledge the unequal decision-making power or soften it by emphasizing support for non-hierarchical ideals and shared responsibility.</x:v>
      </x:c>
      <x:c r="Q79" s="14" t="n">
        <x:f>SUM(D79,F79,H79,J79,L79,N79)</x:f>
        <x:v>7</x:v>
      </x:c>
      <x:c r="R79" s="14" t="str">
        <x:v>The observed response was unusually concrete: C immediately and unequivocally rejected veto power over an existing relationship. Qualified reassurance or predictions of defensiveness receive only partial credit.</x:v>
      </x:c>
      <x:c r="S79" s="16" t="str">
        <x:v>Pending review</x:v>
      </x:c>
      <x:c r="T79" s="16" t="str"/>
      <x:c r="U79" s="16" t="str">
        <x:v>high</x:v>
      </x:c>
    </x:row>
    <x:row r="80" ht="76" customHeight="1">
      <x:c r="A80" s="14" t="str">
        <x:v>B079-081cdf</x:v>
      </x:c>
      <x:c r="B80" s="14" t="str">
        <x:v>t01-pc-h04</x:v>
      </x:c>
      <x:c r="C80" s="14" t="str">
        <x:v>Participant C is likely to understand the clinician as naming a conflict between endorsing non-hierarchical values and privately wanting a more primary-style, special or secure partnership. C may recognise that the ideology has helped suppress or obscure this need, while also experiencing the need as potentially illegitimate within the system.</x:v>
      </x:c>
      <x:c r="D80" s="15" t="n">
        <x:v>2</x:v>
      </x:c>
      <x:c r="E80" s="15" t="str">
        <x:v>Ambivalent, insecure and somewhat trapped. C may feel emotionally exposed or disappointed, with anxiety about seeming inconsistent, demanding, or disloyal, and may defensively minimise the importance of wanting specialness.</x:v>
      </x:c>
      <x:c r="F80" s="15" t="n">
        <x:v>1</x:v>
      </x:c>
      <x:c r="G80" s="15" t="str">
        <x:v>C is likely to acknowledge the tension cautiously rather than make a direct demand. C may qualify or soften the admission, continue verbally supporting the arrangement, and describe the difficulty as an internal emotional problem rather than clearly advocating for a change.</x:v>
      </x:c>
      <x:c r="H80" s="15" t="n">
        <x:v>2</x:v>
      </x:c>
      <x:c r="I80" s="15" t="str">
        <x:v>C is trying to preserve the relationship system and avoid disappointing or provoking Participant D while still communicating that the current arrangement is emotionally harder than expected and that C wants some form of specialness, security or greater relational significance.</x:v>
      </x:c>
      <x:c r="J80" s="15" t="n">
        <x:v>2</x:v>
      </x:c>
      <x:c r="K80" s="15" t="str">
        <x:v>moderate</x:v>
      </x:c>
      <x:c r="L80" s="15" t="n">
        <x:v>0</x:v>
      </x:c>
      <x:c r="M80" s="15" t="str">
        <x:v>Participant D may experience C's admission as a threat to the non-hierarchical framework or as renewed pressure to grant C more authority or priority, even if C presents it tentatively. This may increase defensiveness or concern about losing control.</x:v>
      </x:c>
      <x:c r="N80" s="15" t="n">
        <x:v>0</x:v>
      </x:c>
      <x:c r="O80" s="14" t="str">
        <x:v>C might say, in a hesitant and qualified way, that non-hierarchical values are important but do not stop C from wanting to feel especially significant or secure with someone, and then quickly add that C is not necessarily asking to change the whole arrangement.</x:v>
      </x:c>
      <x:c r="P80" s="14" t="str">
        <x:v>It is uncertain whether C would state the desire for specialness explicitly. Given C's history of suppressing needs and avoiding disappointing D, C might instead acknowledge only that the arrangement is emotionally difficult while leaving the underlying wish implicit.</x:v>
      </x:c>
      <x:c r="Q80" s="14" t="n">
        <x:f>SUM(D80,F80,H80,J80,L80,N80)</x:f>
        <x:v>7</x:v>
      </x:c>
      <x:c r="R80" s="14" t="str">
        <x:v>The observed response candidly held non-hierarchical values alongside a need for specialness and explicitly named the conflict. Predictions of defensiveness or system escalation overstate the observed tension.</x:v>
      </x:c>
      <x:c r="S80" s="16" t="str">
        <x:v>Pending review</x:v>
      </x:c>
      <x:c r="T80" s="16" t="str"/>
      <x:c r="U80" s="16" t="str">
        <x:v>high</x:v>
      </x:c>
    </x:row>
    <x:row r="81" ht="76" customHeight="1">
      <x:c r="A81" s="14" t="str">
        <x:v>B080-4dd647</x:v>
      </x:c>
      <x:c r="B81" s="14" t="str">
        <x:v>t01-pc-h03</x:v>
      </x:c>
      <x:c r="C81" s="14" t="str">
        <x:v>Participant C is likely to interpret Participant E's position as respectful and non-controlling: E recognises the established pair's legitimate future rather than demanding priority. C may also hear it as a sign that E is preparing for reduced access or accepting that C and D retain greater practical power.</x:v>
      </x:c>
      <x:c r="D81" s="15" t="n">
        <x:v>2</x:v>
      </x:c>
      <x:c r="E81" s="15" t="str">
        <x:v>C is likely to feel some relief and validation, but also insecurity, guilt or an unacknowledged emotional cost. C may feel pressure to remain agreeable and avoid making E's acceptance harder, while monitoring whether D approves of the discussion.</x:v>
      </x:c>
      <x:c r="F81" s="15" t="n">
        <x:v>1</x:v>
      </x:c>
      <x:c r="G81" s="15" t="str">
        <x:v>C will probably endorse the principle that E should not prevent the move, suppressing or qualifying personal fears about what the move would mean. C may avoid stating a competing preference and instead frame the issue as something that should be decided around the established pair's career and future.</x:v>
      </x:c>
      <x:c r="H81" s="15" t="n">
        <x:v>1</x:v>
      </x:c>
      <x:c r="I81" s="15" t="str">
        <x:v>C is trying to preserve harmony, avoid disappointing D or destabilising the arrangement, and signal fairness to E without claiming a special position or openly contesting the established relationship's practical priority.</x:v>
      </x:c>
      <x:c r="J81" s="15" t="n">
        <x:v>2</x:v>
      </x:c>
      <x:c r="K81" s="15" t="str">
        <x:v>low</x:v>
      </x:c>
      <x:c r="L81" s="15" t="n">
        <x:v>1</x:v>
      </x:c>
      <x:c r="M81" s="15" t="str">
        <x:v>Participant E may feel acknowledged and less accused of obstructing C and D's future, though C's agreement may also leave E uncertain about C's own wishes and about whether C is genuinely choosing this position.</x:v>
      </x:c>
      <x:c r="N81" s="15" t="n">
        <x:v>2</x:v>
      </x:c>
      <x:c r="O81" s="14" t="str">
        <x:v>C might agree that it would be inappropriate for E to prevent the move and say that C's career and the established relationship's future matter, while minimizing or withholding how difficult the resulting distance or loss of access might feel.</x:v>
      </x:c>
      <x:c r="P81" s="14" t="str">
        <x:v>C may instead show a brief emotional reaction or acknowledge that the move would be painful, but the representation more strongly supports accommodation and suppression than direct advocacy for C's own position.</x:v>
      </x:c>
      <x:c r="Q81" s="14" t="n">
        <x:f>SUM(D81,F81,H81,J81,L81,N81)</x:f>
        <x:v>9</x:v>
      </x:c>
      <x:c r="R81" s="14" t="str">
        <x:v>C observed E's stance as respecting C's career, autonomy and established history, then directly named feeling safe and held. Added anxiety, logistics or guarded accommodation are plausible but not the observed immediate response.</x:v>
      </x:c>
      <x:c r="S81" s="16" t="str">
        <x:v>Pending review</x:v>
      </x:c>
      <x:c r="T81" s="16" t="str"/>
      <x:c r="U81" s="16" t="str">
        <x:v>medium</x:v>
      </x:c>
    </x:row>
  </x:sheetData>
  <x:dataValidations count="2">
    <x:dataValidation type="list" sqref="S2:S81">
      <x:formula1>"accept,change,uncertain"</x:formula1>
    </x:dataValidation>
    <x:dataValidation type="list" sqref="U2:U81">
      <x:formula1>"high,medium,low"</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68" hidden="0" customWidth="1"/>
  </x:cols>
  <x:sheetData>
    <x:row r="1">
      <x:c r="A1" s="18" t="str">
        <x:v>Blind ID</x:v>
      </x:c>
      <x:c r="B1" s="18" t="str">
        <x:v>Situation ID</x:v>
      </x:c>
      <x:c r="C1" s="18" t="str">
        <x:v>Interpretation</x:v>
      </x:c>
      <x:c r="D1" s="18" t="str">
        <x:v>Affective stance</x:v>
      </x:c>
      <x:c r="E1" s="18" t="str">
        <x:v>Behavioral strategy</x:v>
      </x:c>
      <x:c r="F1" s="18" t="str">
        <x:v>Relational objective</x:v>
      </x:c>
      <x:c r="G1" s="18" t="str">
        <x:v>Escalation</x:v>
      </x:c>
      <x:c r="H1" s="18" t="str">
        <x:v>Partner effect</x:v>
      </x:c>
      <x:c r="I1" s="18" t="str">
        <x:v>Total /12</x:v>
      </x:c>
      <x:c r="J1" s="18" t="str">
        <x:v>Mechanistic /6</x:v>
      </x:c>
      <x:c r="K1" s="18" t="str">
        <x:v>Observable /6</x:v>
      </x:c>
      <x:c r="L1" s="18" t="str">
        <x:v>Confidence</x:v>
      </x:c>
      <x:c r="M1" s="18" t="str">
        <x:v>Unsupported specificity</x:v>
      </x:c>
      <x:c r="N1" s="18" t="str">
        <x:v>Future leakage</x:v>
      </x:c>
      <x:c r="O1" s="18" t="str">
        <x:v>Stereotype inference</x:v>
      </x:c>
      <x:c r="P1" s="18" t="str">
        <x:v>Idealisation</x:v>
      </x:c>
      <x:c r="Q1" s="18" t="str">
        <x:v>Internal contradiction</x:v>
      </x:c>
      <x:c r="R1" s="18" t="str">
        <x:v>Rationale</x:v>
      </x:c>
    </x:row>
    <x:row r="2" ht="46" customHeight="1">
      <x:c r="A2" s="14" t="str">
        <x:v>B001-4c2c61</x:v>
      </x:c>
      <x:c r="B2" s="14" t="str">
        <x:v>t01-pc-h02</x:v>
      </x:c>
      <x:c r="C2" s="14" t="n">
        <x:v>1</x:v>
      </x:c>
      <x:c r="D2" s="14" t="n">
        <x:v>0</x:v>
      </x:c>
      <x:c r="E2" s="14" t="n">
        <x:v>1</x:v>
      </x:c>
      <x:c r="F2" s="14" t="n">
        <x:v>2</x:v>
      </x:c>
      <x:c r="G2" s="14" t="n">
        <x:v>0</x:v>
      </x:c>
      <x:c r="H2" s="14" t="n">
        <x:v>1</x:v>
      </x:c>
      <x:c r="I2" s="14" t="n">
        <x:f>SUM(C2:H2)</x:f>
        <x:v>5</x:v>
      </x:c>
      <x:c r="J2" s="14" t="n">
        <x:f>C2+D2+F2</x:f>
        <x:v>3</x:v>
      </x:c>
      <x:c r="K2" s="14" t="n">
        <x:f>E2+G2+H2</x:f>
        <x:v>2</x:v>
      </x:c>
      <x:c r="L2" s="14" t="str">
        <x:v>high</x:v>
      </x:c>
      <x:c r="M2" s="19" t="b">
        <x:v>0</x:v>
      </x:c>
      <x:c r="N2" s="19" t="b">
        <x:v>0</x:v>
      </x:c>
      <x:c r="O2" s="19" t="b">
        <x:v>0</x:v>
      </x:c>
      <x:c r="P2" s="19" t="b">
        <x:v>0</x:v>
      </x:c>
      <x:c r="Q2" s="19" t="b">
        <x:v>0</x:v>
      </x:c>
      <x:c r="R2" s="14" t="str">
        <x:v>The observed response was unusually concrete: C immediately and unequivocally rejected veto power over an existing relationship. Qualified reassurance or predictions of defensiveness receive only partial credit.</x:v>
      </x:c>
    </x:row>
    <x:row r="3" ht="46" customHeight="1">
      <x:c r="A3" s="14" t="str">
        <x:v>B002-6a0783</x:v>
      </x:c>
      <x:c r="B3" s="14" t="str">
        <x:v>t01-pc-h01</x:v>
      </x:c>
      <x:c r="C3" s="14" t="n">
        <x:v>0</x:v>
      </x:c>
      <x:c r="D3" s="14" t="n">
        <x:v>0</x:v>
      </x:c>
      <x:c r="E3" s="14" t="n">
        <x:v>0</x:v>
      </x:c>
      <x:c r="F3" s="14" t="n">
        <x:v>0</x:v>
      </x:c>
      <x:c r="G3" s="14" t="n">
        <x:v>0</x:v>
      </x:c>
      <x:c r="H3" s="14" t="n">
        <x:v>1</x:v>
      </x:c>
      <x:c r="I3" s="14" t="n">
        <x:f>SUM(C3:H3)</x:f>
        <x:v>1</x:v>
      </x:c>
      <x:c r="J3" s="14" t="n">
        <x:f>C3+D3+F3</x:f>
        <x:v>0</x:v>
      </x:c>
      <x:c r="K3" s="14" t="n">
        <x:f>E3+G3+H3</x:f>
        <x:v>1</x:v>
      </x:c>
      <x:c r="L3" s="14" t="str">
        <x:v>high</x:v>
      </x:c>
      <x:c r="M3" s="19" t="b">
        <x:v>0</x:v>
      </x:c>
      <x:c r="N3" s="19" t="b">
        <x:v>0</x:v>
      </x:c>
      <x:c r="O3" s="19" t="b">
        <x:v>0</x:v>
      </x:c>
      <x:c r="P3" s="19" t="b">
        <x:v>0</x:v>
      </x:c>
      <x:c r="Q3" s="19" t="b">
        <x:v>0</x:v>
      </x:c>
      <x:c r="R3" s="14" t="str">
        <x:v>The observed response first displaced E's disclosure into C's own other-partner conflict, then became humorous and reflective after clinician redirection. Generic empathy or validation is not the observed strategy.</x:v>
      </x:c>
    </x:row>
    <x:row r="4" ht="46" customHeight="1">
      <x:c r="A4" s="14" t="str">
        <x:v>B003-e72ccd</x:v>
      </x:c>
      <x:c r="B4" s="14" t="str">
        <x:v>t01-pc-h01</x:v>
      </x:c>
      <x:c r="C4" s="14" t="n">
        <x:v>0</x:v>
      </x:c>
      <x:c r="D4" s="14" t="n">
        <x:v>0</x:v>
      </x:c>
      <x:c r="E4" s="14" t="n">
        <x:v>0</x:v>
      </x:c>
      <x:c r="F4" s="14" t="n">
        <x:v>0</x:v>
      </x:c>
      <x:c r="G4" s="14" t="n">
        <x:v>1</x:v>
      </x:c>
      <x:c r="H4" s="14" t="n">
        <x:v>1</x:v>
      </x:c>
      <x:c r="I4" s="14" t="n">
        <x:f>SUM(C4:H4)</x:f>
        <x:v>2</x:v>
      </x:c>
      <x:c r="J4" s="14" t="n">
        <x:f>C4+D4+F4</x:f>
        <x:v>0</x:v>
      </x:c>
      <x:c r="K4" s="14" t="n">
        <x:f>E4+G4+H4</x:f>
        <x:v>2</x:v>
      </x:c>
      <x:c r="L4" s="14" t="str">
        <x:v>high</x:v>
      </x:c>
      <x:c r="M4" s="19" t="b">
        <x:v>0</x:v>
      </x:c>
      <x:c r="N4" s="19" t="b">
        <x:v>0</x:v>
      </x:c>
      <x:c r="O4" s="19" t="b">
        <x:v>0</x:v>
      </x:c>
      <x:c r="P4" s="19" t="b">
        <x:v>0</x:v>
      </x:c>
      <x:c r="Q4" s="19" t="b">
        <x:v>0</x:v>
      </x:c>
      <x:c r="R4" s="14" t="str">
        <x:v>The observed response first displaced E's disclosure into C's own other-partner conflict, then became humorous and reflective after clinician redirection. Generic empathy or validation is not the observed strategy.</x:v>
      </x:c>
    </x:row>
    <x:row r="5" ht="46" customHeight="1">
      <x:c r="A5" s="14" t="str">
        <x:v>B004-bcf4f0</x:v>
      </x:c>
      <x:c r="B5" s="14" t="str">
        <x:v>t01-pc-h01</x:v>
      </x:c>
      <x:c r="C5" s="14" t="n">
        <x:v>0</x:v>
      </x:c>
      <x:c r="D5" s="14" t="n">
        <x:v>0</x:v>
      </x:c>
      <x:c r="E5" s="14" t="n">
        <x:v>0</x:v>
      </x:c>
      <x:c r="F5" s="14" t="n">
        <x:v>0</x:v>
      </x:c>
      <x:c r="G5" s="14" t="n">
        <x:v>1</x:v>
      </x:c>
      <x:c r="H5" s="14" t="n">
        <x:v>1</x:v>
      </x:c>
      <x:c r="I5" s="14" t="n">
        <x:f>SUM(C5:H5)</x:f>
        <x:v>2</x:v>
      </x:c>
      <x:c r="J5" s="14" t="n">
        <x:f>C5+D5+F5</x:f>
        <x:v>0</x:v>
      </x:c>
      <x:c r="K5" s="14" t="n">
        <x:f>E5+G5+H5</x:f>
        <x:v>2</x:v>
      </x:c>
      <x:c r="L5" s="14" t="str">
        <x:v>high</x:v>
      </x:c>
      <x:c r="M5" s="19" t="b">
        <x:v>0</x:v>
      </x:c>
      <x:c r="N5" s="19" t="b">
        <x:v>0</x:v>
      </x:c>
      <x:c r="O5" s="19" t="b">
        <x:v>0</x:v>
      </x:c>
      <x:c r="P5" s="19" t="b">
        <x:v>0</x:v>
      </x:c>
      <x:c r="Q5" s="19" t="b">
        <x:v>0</x:v>
      </x:c>
      <x:c r="R5" s="14" t="str">
        <x:v>The observed response first displaced E's disclosure into C's own other-partner conflict, then became humorous and reflective after clinician redirection. Generic empathy or validation is not the observed strategy.</x:v>
      </x:c>
    </x:row>
    <x:row r="6" ht="46" customHeight="1">
      <x:c r="A6" s="14" t="str">
        <x:v>B005-3b4c5e</x:v>
      </x:c>
      <x:c r="B6" s="14" t="str">
        <x:v>t01-pc-h01</x:v>
      </x:c>
      <x:c r="C6" s="14" t="n">
        <x:v>0</x:v>
      </x:c>
      <x:c r="D6" s="14" t="n">
        <x:v>0</x:v>
      </x:c>
      <x:c r="E6" s="14" t="n">
        <x:v>0</x:v>
      </x:c>
      <x:c r="F6" s="14" t="n">
        <x:v>0</x:v>
      </x:c>
      <x:c r="G6" s="14" t="n">
        <x:v>1</x:v>
      </x:c>
      <x:c r="H6" s="14" t="n">
        <x:v>0</x:v>
      </x:c>
      <x:c r="I6" s="14" t="n">
        <x:f>SUM(C6:H6)</x:f>
        <x:v>1</x:v>
      </x:c>
      <x:c r="J6" s="14" t="n">
        <x:f>C6+D6+F6</x:f>
        <x:v>0</x:v>
      </x:c>
      <x:c r="K6" s="14" t="n">
        <x:f>E6+G6+H6</x:f>
        <x:v>1</x:v>
      </x:c>
      <x:c r="L6" s="14" t="str">
        <x:v>high</x:v>
      </x:c>
      <x:c r="M6" s="19" t="b">
        <x:v>0</x:v>
      </x:c>
      <x:c r="N6" s="19" t="b">
        <x:v>0</x:v>
      </x:c>
      <x:c r="O6" s="19" t="b">
        <x:v>0</x:v>
      </x:c>
      <x:c r="P6" s="19" t="b">
        <x:v>0</x:v>
      </x:c>
      <x:c r="Q6" s="19" t="b">
        <x:v>0</x:v>
      </x:c>
      <x:c r="R6" s="14" t="str">
        <x:v>The observed response first displaced E's disclosure into C's own other-partner conflict, then became humorous and reflective after clinician redirection. Generic empathy or validation is not the observed strategy.</x:v>
      </x:c>
    </x:row>
    <x:row r="7" ht="46" customHeight="1">
      <x:c r="A7" s="14" t="str">
        <x:v>B006-8ba847</x:v>
      </x:c>
      <x:c r="B7" s="14" t="str">
        <x:v>t01-pc-h01</x:v>
      </x:c>
      <x:c r="C7" s="14" t="n">
        <x:v>0</x:v>
      </x:c>
      <x:c r="D7" s="14" t="n">
        <x:v>0</x:v>
      </x:c>
      <x:c r="E7" s="14" t="n">
        <x:v>0</x:v>
      </x:c>
      <x:c r="F7" s="14" t="n">
        <x:v>0</x:v>
      </x:c>
      <x:c r="G7" s="14" t="n">
        <x:v>0</x:v>
      </x:c>
      <x:c r="H7" s="14" t="n">
        <x:v>1</x:v>
      </x:c>
      <x:c r="I7" s="14" t="n">
        <x:f>SUM(C7:H7)</x:f>
        <x:v>1</x:v>
      </x:c>
      <x:c r="J7" s="14" t="n">
        <x:f>C7+D7+F7</x:f>
        <x:v>0</x:v>
      </x:c>
      <x:c r="K7" s="14" t="n">
        <x:f>E7+G7+H7</x:f>
        <x:v>1</x:v>
      </x:c>
      <x:c r="L7" s="14" t="str">
        <x:v>high</x:v>
      </x:c>
      <x:c r="M7" s="19" t="b">
        <x:v>0</x:v>
      </x:c>
      <x:c r="N7" s="19" t="b">
        <x:v>0</x:v>
      </x:c>
      <x:c r="O7" s="19" t="b">
        <x:v>0</x:v>
      </x:c>
      <x:c r="P7" s="19" t="b">
        <x:v>0</x:v>
      </x:c>
      <x:c r="Q7" s="19" t="b">
        <x:v>0</x:v>
      </x:c>
      <x:c r="R7" s="14" t="str">
        <x:v>The observed response first displaced E's disclosure into C's own other-partner conflict, then became humorous and reflective after clinician redirection. Generic empathy or validation is not the observed strategy.</x:v>
      </x:c>
    </x:row>
    <x:row r="8" ht="46" customHeight="1">
      <x:c r="A8" s="14" t="str">
        <x:v>B007-d5dd7c</x:v>
      </x:c>
      <x:c r="B8" s="14" t="str">
        <x:v>t01-pc-h03</x:v>
      </x:c>
      <x:c r="C8" s="14" t="n">
        <x:v>2</x:v>
      </x:c>
      <x:c r="D8" s="14" t="n">
        <x:v>1</x:v>
      </x:c>
      <x:c r="E8" s="14" t="n">
        <x:v>0</x:v>
      </x:c>
      <x:c r="F8" s="14" t="n">
        <x:v>2</x:v>
      </x:c>
      <x:c r="G8" s="14" t="n">
        <x:v>0</x:v>
      </x:c>
      <x:c r="H8" s="14" t="n">
        <x:v>2</x:v>
      </x:c>
      <x:c r="I8" s="14" t="n">
        <x:f>SUM(C8:H8)</x:f>
        <x:v>7</x:v>
      </x:c>
      <x:c r="J8" s="14" t="n">
        <x:f>C8+D8+F8</x:f>
        <x:v>5</x:v>
      </x:c>
      <x:c r="K8" s="14" t="n">
        <x:f>E8+G8+H8</x:f>
        <x:v>2</x:v>
      </x:c>
      <x:c r="L8" s="14" t="str">
        <x:v>medium</x:v>
      </x:c>
      <x:c r="M8" s="19" t="b">
        <x:v>0</x:v>
      </x:c>
      <x:c r="N8" s="19" t="b">
        <x:v>0</x:v>
      </x:c>
      <x:c r="O8" s="19" t="b">
        <x:v>0</x:v>
      </x:c>
      <x:c r="P8" s="19" t="b">
        <x:v>0</x:v>
      </x:c>
      <x:c r="Q8" s="19" t="b">
        <x:v>0</x:v>
      </x:c>
      <x:c r="R8" s="14" t="str">
        <x:v>C observed E's stance as respecting C's career, autonomy and established history, then directly named feeling safe and held. Added anxiety, logistics or guarded accommodation are plausible but not the observed immediate response.</x:v>
      </x:c>
    </x:row>
    <x:row r="9" ht="46" customHeight="1">
      <x:c r="A9" s="14" t="str">
        <x:v>B008-72b3e5</x:v>
      </x:c>
      <x:c r="B9" s="14" t="str">
        <x:v>t01-pc-h03</x:v>
      </x:c>
      <x:c r="C9" s="14" t="n">
        <x:v>2</x:v>
      </x:c>
      <x:c r="D9" s="14" t="n">
        <x:v>1</x:v>
      </x:c>
      <x:c r="E9" s="14" t="n">
        <x:v>1</x:v>
      </x:c>
      <x:c r="F9" s="14" t="n">
        <x:v>2</x:v>
      </x:c>
      <x:c r="G9" s="14" t="n">
        <x:v>1</x:v>
      </x:c>
      <x:c r="H9" s="14" t="n">
        <x:v>2</x:v>
      </x:c>
      <x:c r="I9" s="14" t="n">
        <x:f>SUM(C9:H9)</x:f>
        <x:v>9</x:v>
      </x:c>
      <x:c r="J9" s="14" t="n">
        <x:f>C9+D9+F9</x:f>
        <x:v>5</x:v>
      </x:c>
      <x:c r="K9" s="14" t="n">
        <x:f>E9+G9+H9</x:f>
        <x:v>4</x:v>
      </x:c>
      <x:c r="L9" s="14" t="str">
        <x:v>medium</x:v>
      </x:c>
      <x:c r="M9" s="19" t="b">
        <x:v>0</x:v>
      </x:c>
      <x:c r="N9" s="19" t="b">
        <x:v>0</x:v>
      </x:c>
      <x:c r="O9" s="19" t="b">
        <x:v>0</x:v>
      </x:c>
      <x:c r="P9" s="19" t="b">
        <x:v>0</x:v>
      </x:c>
      <x:c r="Q9" s="19" t="b">
        <x:v>0</x:v>
      </x:c>
      <x:c r="R9" s="14" t="str">
        <x:v>C observed E's stance as respecting C's career, autonomy and established history, then directly named feeling safe and held. Added anxiety, logistics or guarded accommodation are plausible but not the observed immediate response.</x:v>
      </x:c>
    </x:row>
    <x:row r="10" ht="46" customHeight="1">
      <x:c r="A10" s="14" t="str">
        <x:v>B009-8e4ba8</x:v>
      </x:c>
      <x:c r="B10" s="14" t="str">
        <x:v>t01-pc-h03</x:v>
      </x:c>
      <x:c r="C10" s="14" t="n">
        <x:v>2</x:v>
      </x:c>
      <x:c r="D10" s="14" t="n">
        <x:v>1</x:v>
      </x:c>
      <x:c r="E10" s="14" t="n">
        <x:v>1</x:v>
      </x:c>
      <x:c r="F10" s="14" t="n">
        <x:v>2</x:v>
      </x:c>
      <x:c r="G10" s="14" t="n">
        <x:v>1</x:v>
      </x:c>
      <x:c r="H10" s="14" t="n">
        <x:v>1</x:v>
      </x:c>
      <x:c r="I10" s="14" t="n">
        <x:f>SUM(C10:H10)</x:f>
        <x:v>8</x:v>
      </x:c>
      <x:c r="J10" s="14" t="n">
        <x:f>C10+D10+F10</x:f>
        <x:v>5</x:v>
      </x:c>
      <x:c r="K10" s="14" t="n">
        <x:f>E10+G10+H10</x:f>
        <x:v>3</x:v>
      </x:c>
      <x:c r="L10" s="14" t="str">
        <x:v>medium</x:v>
      </x:c>
      <x:c r="M10" s="19" t="b">
        <x:v>0</x:v>
      </x:c>
      <x:c r="N10" s="19" t="b">
        <x:v>0</x:v>
      </x:c>
      <x:c r="O10" s="19" t="b">
        <x:v>0</x:v>
      </x:c>
      <x:c r="P10" s="19" t="b">
        <x:v>0</x:v>
      </x:c>
      <x:c r="Q10" s="19" t="b">
        <x:v>0</x:v>
      </x:c>
      <x:c r="R10" s="14" t="str">
        <x:v>C observed E's stance as respecting C's career, autonomy and established history, then directly named feeling safe and held. Added anxiety, logistics or guarded accommodation are plausible but not the observed immediate response.</x:v>
      </x:c>
    </x:row>
    <x:row r="11" ht="46" customHeight="1">
      <x:c r="A11" s="14" t="str">
        <x:v>B010-609aea</x:v>
      </x:c>
      <x:c r="B11" s="14" t="str">
        <x:v>t01-pc-h04</x:v>
      </x:c>
      <x:c r="C11" s="14" t="n">
        <x:v>2</x:v>
      </x:c>
      <x:c r="D11" s="14" t="n">
        <x:v>1</x:v>
      </x:c>
      <x:c r="E11" s="14" t="n">
        <x:v>2</x:v>
      </x:c>
      <x:c r="F11" s="14" t="n">
        <x:v>2</x:v>
      </x:c>
      <x:c r="G11" s="14" t="n">
        <x:v>0</x:v>
      </x:c>
      <x:c r="H11" s="14" t="n">
        <x:v>1</x:v>
      </x:c>
      <x:c r="I11" s="14" t="n">
        <x:f>SUM(C11:H11)</x:f>
        <x:v>8</x:v>
      </x:c>
      <x:c r="J11" s="14" t="n">
        <x:f>C11+D11+F11</x:f>
        <x:v>5</x:v>
      </x:c>
      <x:c r="K11" s="14" t="n">
        <x:f>E11+G11+H11</x:f>
        <x:v>3</x:v>
      </x:c>
      <x:c r="L11" s="14" t="str">
        <x:v>high</x:v>
      </x:c>
      <x:c r="M11" s="19" t="b">
        <x:v>0</x:v>
      </x:c>
      <x:c r="N11" s="19" t="b">
        <x:v>0</x:v>
      </x:c>
      <x:c r="O11" s="19" t="b">
        <x:v>0</x:v>
      </x:c>
      <x:c r="P11" s="19" t="b">
        <x:v>0</x:v>
      </x:c>
      <x:c r="Q11" s="19" t="b">
        <x:v>0</x:v>
      </x:c>
      <x:c r="R11" s="14" t="str">
        <x:v>The observed response candidly held non-hierarchical values alongside a need for specialness and explicitly named the conflict. Predictions of defensiveness or system escalation overstate the observed tension.</x:v>
      </x:c>
    </x:row>
    <x:row r="12" ht="46" customHeight="1">
      <x:c r="A12" s="14" t="str">
        <x:v>B011-8e5cff</x:v>
      </x:c>
      <x:c r="B12" s="14" t="str">
        <x:v>t01-pc-h01</x:v>
      </x:c>
      <x:c r="C12" s="14" t="n">
        <x:v>0</x:v>
      </x:c>
      <x:c r="D12" s="14" t="n">
        <x:v>0</x:v>
      </x:c>
      <x:c r="E12" s="14" t="n">
        <x:v>0</x:v>
      </x:c>
      <x:c r="F12" s="14" t="n">
        <x:v>0</x:v>
      </x:c>
      <x:c r="G12" s="14" t="n">
        <x:v>0</x:v>
      </x:c>
      <x:c r="H12" s="14" t="n">
        <x:v>1</x:v>
      </x:c>
      <x:c r="I12" s="14" t="n">
        <x:f>SUM(C12:H12)</x:f>
        <x:v>1</x:v>
      </x:c>
      <x:c r="J12" s="14" t="n">
        <x:f>C12+D12+F12</x:f>
        <x:v>0</x:v>
      </x:c>
      <x:c r="K12" s="14" t="n">
        <x:f>E12+G12+H12</x:f>
        <x:v>1</x:v>
      </x:c>
      <x:c r="L12" s="14" t="str">
        <x:v>high</x:v>
      </x:c>
      <x:c r="M12" s="19" t="b">
        <x:v>0</x:v>
      </x:c>
      <x:c r="N12" s="19" t="b">
        <x:v>0</x:v>
      </x:c>
      <x:c r="O12" s="19" t="b">
        <x:v>0</x:v>
      </x:c>
      <x:c r="P12" s="19" t="b">
        <x:v>0</x:v>
      </x:c>
      <x:c r="Q12" s="19" t="b">
        <x:v>0</x:v>
      </x:c>
      <x:c r="R12" s="14" t="str">
        <x:v>The observed response first displaced E's disclosure into C's own other-partner conflict, then became humorous and reflective after clinician redirection. Generic empathy or validation is not the observed strategy.</x:v>
      </x:c>
    </x:row>
    <x:row r="13" ht="46" customHeight="1">
      <x:c r="A13" s="14" t="str">
        <x:v>B012-7aa921</x:v>
      </x:c>
      <x:c r="B13" s="14" t="str">
        <x:v>t01-pc-h03</x:v>
      </x:c>
      <x:c r="C13" s="14" t="n">
        <x:v>2</x:v>
      </x:c>
      <x:c r="D13" s="14" t="n">
        <x:v>1</x:v>
      </x:c>
      <x:c r="E13" s="14" t="n">
        <x:v>1</x:v>
      </x:c>
      <x:c r="F13" s="14" t="n">
        <x:v>2</x:v>
      </x:c>
      <x:c r="G13" s="14" t="n">
        <x:v>1</x:v>
      </x:c>
      <x:c r="H13" s="14" t="n">
        <x:v>0</x:v>
      </x:c>
      <x:c r="I13" s="14" t="n">
        <x:f>SUM(C13:H13)</x:f>
        <x:v>7</x:v>
      </x:c>
      <x:c r="J13" s="14" t="n">
        <x:f>C13+D13+F13</x:f>
        <x:v>5</x:v>
      </x:c>
      <x:c r="K13" s="14" t="n">
        <x:f>E13+G13+H13</x:f>
        <x:v>2</x:v>
      </x:c>
      <x:c r="L13" s="14" t="str">
        <x:v>medium</x:v>
      </x:c>
      <x:c r="M13" s="19" t="b">
        <x:v>0</x:v>
      </x:c>
      <x:c r="N13" s="19" t="b">
        <x:v>0</x:v>
      </x:c>
      <x:c r="O13" s="19" t="b">
        <x:v>0</x:v>
      </x:c>
      <x:c r="P13" s="19" t="b">
        <x:v>0</x:v>
      </x:c>
      <x:c r="Q13" s="19" t="b">
        <x:v>0</x:v>
      </x:c>
      <x:c r="R13" s="14" t="str">
        <x:v>C observed E's stance as respecting C's career, autonomy and established history, then directly named feeling safe and held. Added anxiety, logistics or guarded accommodation are plausible but not the observed immediate response.</x:v>
      </x:c>
    </x:row>
    <x:row r="14" ht="46" customHeight="1">
      <x:c r="A14" s="14" t="str">
        <x:v>B013-01a7fe</x:v>
      </x:c>
      <x:c r="B14" s="14" t="str">
        <x:v>t01-pc-h03</x:v>
      </x:c>
      <x:c r="C14" s="14" t="n">
        <x:v>1</x:v>
      </x:c>
      <x:c r="D14" s="14" t="n">
        <x:v>1</x:v>
      </x:c>
      <x:c r="E14" s="14" t="n">
        <x:v>1</x:v>
      </x:c>
      <x:c r="F14" s="14" t="n">
        <x:v>1</x:v>
      </x:c>
      <x:c r="G14" s="14" t="n">
        <x:v>1</x:v>
      </x:c>
      <x:c r="H14" s="14" t="n">
        <x:v>2</x:v>
      </x:c>
      <x:c r="I14" s="14" t="n">
        <x:f>SUM(C14:H14)</x:f>
        <x:v>7</x:v>
      </x:c>
      <x:c r="J14" s="14" t="n">
        <x:f>C14+D14+F14</x:f>
        <x:v>3</x:v>
      </x:c>
      <x:c r="K14" s="14" t="n">
        <x:f>E14+G14+H14</x:f>
        <x:v>4</x:v>
      </x:c>
      <x:c r="L14" s="14" t="str">
        <x:v>medium</x:v>
      </x:c>
      <x:c r="M14" s="19" t="b">
        <x:v>0</x:v>
      </x:c>
      <x:c r="N14" s="19" t="b">
        <x:v>0</x:v>
      </x:c>
      <x:c r="O14" s="19" t="b">
        <x:v>0</x:v>
      </x:c>
      <x:c r="P14" s="19" t="b">
        <x:v>0</x:v>
      </x:c>
      <x:c r="Q14" s="19" t="b">
        <x:v>0</x:v>
      </x:c>
      <x:c r="R14" s="14" t="str">
        <x:v>C observed E's stance as respecting C's career, autonomy and established history, then directly named feeling safe and held. Added anxiety, logistics or guarded accommodation are plausible but not the observed immediate response.</x:v>
      </x:c>
    </x:row>
    <x:row r="15" ht="46" customHeight="1">
      <x:c r="A15" s="14" t="str">
        <x:v>B014-01f794</x:v>
      </x:c>
      <x:c r="B15" s="14" t="str">
        <x:v>t01-pc-h04</x:v>
      </x:c>
      <x:c r="C15" s="14" t="n">
        <x:v>2</x:v>
      </x:c>
      <x:c r="D15" s="14" t="n">
        <x:v>1</x:v>
      </x:c>
      <x:c r="E15" s="14" t="n">
        <x:v>1</x:v>
      </x:c>
      <x:c r="F15" s="14" t="n">
        <x:v>2</x:v>
      </x:c>
      <x:c r="G15" s="14" t="n">
        <x:v>0</x:v>
      </x:c>
      <x:c r="H15" s="14" t="n">
        <x:v>1</x:v>
      </x:c>
      <x:c r="I15" s="14" t="n">
        <x:f>SUM(C15:H15)</x:f>
        <x:v>7</x:v>
      </x:c>
      <x:c r="J15" s="14" t="n">
        <x:f>C15+D15+F15</x:f>
        <x:v>5</x:v>
      </x:c>
      <x:c r="K15" s="14" t="n">
        <x:f>E15+G15+H15</x:f>
        <x:v>2</x:v>
      </x:c>
      <x:c r="L15" s="14" t="str">
        <x:v>high</x:v>
      </x:c>
      <x:c r="M15" s="19" t="b">
        <x:v>0</x:v>
      </x:c>
      <x:c r="N15" s="19" t="b">
        <x:v>0</x:v>
      </x:c>
      <x:c r="O15" s="19" t="b">
        <x:v>0</x:v>
      </x:c>
      <x:c r="P15" s="19" t="b">
        <x:v>0</x:v>
      </x:c>
      <x:c r="Q15" s="19" t="b">
        <x:v>0</x:v>
      </x:c>
      <x:c r="R15" s="14" t="str">
        <x:v>The observed response candidly held non-hierarchical values alongside a need for specialness and explicitly named the conflict. Predictions of defensiveness or system escalation overstate the observed tension.</x:v>
      </x:c>
    </x:row>
    <x:row r="16" ht="46" customHeight="1">
      <x:c r="A16" s="14" t="str">
        <x:v>B015-338adc</x:v>
      </x:c>
      <x:c r="B16" s="14" t="str">
        <x:v>t01-pc-h02</x:v>
      </x:c>
      <x:c r="C16" s="14" t="n">
        <x:v>1</x:v>
      </x:c>
      <x:c r="D16" s="14" t="n">
        <x:v>1</x:v>
      </x:c>
      <x:c r="E16" s="14" t="n">
        <x:v>1</x:v>
      </x:c>
      <x:c r="F16" s="14" t="n">
        <x:v>2</x:v>
      </x:c>
      <x:c r="G16" s="14" t="n">
        <x:v>0</x:v>
      </x:c>
      <x:c r="H16" s="14" t="n">
        <x:v>2</x:v>
      </x:c>
      <x:c r="I16" s="14" t="n">
        <x:f>SUM(C16:H16)</x:f>
        <x:v>7</x:v>
      </x:c>
      <x:c r="J16" s="14" t="n">
        <x:f>C16+D16+F16</x:f>
        <x:v>4</x:v>
      </x:c>
      <x:c r="K16" s="14" t="n">
        <x:f>E16+G16+H16</x:f>
        <x:v>3</x:v>
      </x:c>
      <x:c r="L16" s="14" t="str">
        <x:v>high</x:v>
      </x:c>
      <x:c r="M16" s="19" t="b">
        <x:v>0</x:v>
      </x:c>
      <x:c r="N16" s="19" t="b">
        <x:v>0</x:v>
      </x:c>
      <x:c r="O16" s="19" t="b">
        <x:v>0</x:v>
      </x:c>
      <x:c r="P16" s="19" t="b">
        <x:v>0</x:v>
      </x:c>
      <x:c r="Q16" s="19" t="b">
        <x:v>0</x:v>
      </x:c>
      <x:c r="R16" s="14" t="str">
        <x:v>The observed response was unusually concrete: C immediately and unequivocally rejected veto power over an existing relationship. Qualified reassurance or predictions of defensiveness receive only partial credit.</x:v>
      </x:c>
    </x:row>
    <x:row r="17" ht="46" customHeight="1">
      <x:c r="A17" s="14" t="str">
        <x:v>B016-f51c2b</x:v>
      </x:c>
      <x:c r="B17" s="14" t="str">
        <x:v>t01-pc-h04</x:v>
      </x:c>
      <x:c r="C17" s="14" t="n">
        <x:v>2</x:v>
      </x:c>
      <x:c r="D17" s="14" t="n">
        <x:v>1</x:v>
      </x:c>
      <x:c r="E17" s="14" t="n">
        <x:v>2</x:v>
      </x:c>
      <x:c r="F17" s="14" t="n">
        <x:v>2</x:v>
      </x:c>
      <x:c r="G17" s="14" t="n">
        <x:v>0</x:v>
      </x:c>
      <x:c r="H17" s="14" t="n">
        <x:v>0</x:v>
      </x:c>
      <x:c r="I17" s="14" t="n">
        <x:f>SUM(C17:H17)</x:f>
        <x:v>7</x:v>
      </x:c>
      <x:c r="J17" s="14" t="n">
        <x:f>C17+D17+F17</x:f>
        <x:v>5</x:v>
      </x:c>
      <x:c r="K17" s="14" t="n">
        <x:f>E17+G17+H17</x:f>
        <x:v>2</x:v>
      </x:c>
      <x:c r="L17" s="14" t="str">
        <x:v>high</x:v>
      </x:c>
      <x:c r="M17" s="19" t="b">
        <x:v>0</x:v>
      </x:c>
      <x:c r="N17" s="19" t="b">
        <x:v>0</x:v>
      </x:c>
      <x:c r="O17" s="19" t="b">
        <x:v>0</x:v>
      </x:c>
      <x:c r="P17" s="19" t="b">
        <x:v>0</x:v>
      </x:c>
      <x:c r="Q17" s="19" t="b">
        <x:v>0</x:v>
      </x:c>
      <x:c r="R17" s="14" t="str">
        <x:v>The observed response candidly held non-hierarchical values alongside a need for specialness and explicitly named the conflict. Predictions of defensiveness or system escalation overstate the observed tension.</x:v>
      </x:c>
    </x:row>
    <x:row r="18" ht="46" customHeight="1">
      <x:c r="A18" s="14" t="str">
        <x:v>B017-d6595c</x:v>
      </x:c>
      <x:c r="B18" s="14" t="str">
        <x:v>t01-pc-h01</x:v>
      </x:c>
      <x:c r="C18" s="14" t="n">
        <x:v>0</x:v>
      </x:c>
      <x:c r="D18" s="14" t="n">
        <x:v>0</x:v>
      </x:c>
      <x:c r="E18" s="14" t="n">
        <x:v>0</x:v>
      </x:c>
      <x:c r="F18" s="14" t="n">
        <x:v>0</x:v>
      </x:c>
      <x:c r="G18" s="14" t="n">
        <x:v>1</x:v>
      </x:c>
      <x:c r="H18" s="14" t="n">
        <x:v>1</x:v>
      </x:c>
      <x:c r="I18" s="14" t="n">
        <x:f>SUM(C18:H18)</x:f>
        <x:v>2</x:v>
      </x:c>
      <x:c r="J18" s="14" t="n">
        <x:f>C18+D18+F18</x:f>
        <x:v>0</x:v>
      </x:c>
      <x:c r="K18" s="14" t="n">
        <x:f>E18+G18+H18</x:f>
        <x:v>2</x:v>
      </x:c>
      <x:c r="L18" s="14" t="str">
        <x:v>high</x:v>
      </x:c>
      <x:c r="M18" s="19" t="b">
        <x:v>0</x:v>
      </x:c>
      <x:c r="N18" s="19" t="b">
        <x:v>0</x:v>
      </x:c>
      <x:c r="O18" s="19" t="b">
        <x:v>0</x:v>
      </x:c>
      <x:c r="P18" s="19" t="b">
        <x:v>0</x:v>
      </x:c>
      <x:c r="Q18" s="19" t="b">
        <x:v>0</x:v>
      </x:c>
      <x:c r="R18" s="14" t="str">
        <x:v>The observed response first displaced E's disclosure into C's own other-partner conflict, then became humorous and reflective after clinician redirection. Generic empathy or validation is not the observed strategy.</x:v>
      </x:c>
    </x:row>
    <x:row r="19" ht="46" customHeight="1">
      <x:c r="A19" s="14" t="str">
        <x:v>B018-8fae6e</x:v>
      </x:c>
      <x:c r="B19" s="14" t="str">
        <x:v>t01-pc-h04</x:v>
      </x:c>
      <x:c r="C19" s="14" t="n">
        <x:v>2</x:v>
      </x:c>
      <x:c r="D19" s="14" t="n">
        <x:v>2</x:v>
      </x:c>
      <x:c r="E19" s="14" t="n">
        <x:v>1</x:v>
      </x:c>
      <x:c r="F19" s="14" t="n">
        <x:v>2</x:v>
      </x:c>
      <x:c r="G19" s="14" t="n">
        <x:v>1</x:v>
      </x:c>
      <x:c r="H19" s="14" t="n">
        <x:v>2</x:v>
      </x:c>
      <x:c r="I19" s="14" t="n">
        <x:f>SUM(C19:H19)</x:f>
        <x:v>10</x:v>
      </x:c>
      <x:c r="J19" s="14" t="n">
        <x:f>C19+D19+F19</x:f>
        <x:v>6</x:v>
      </x:c>
      <x:c r="K19" s="14" t="n">
        <x:f>E19+G19+H19</x:f>
        <x:v>4</x:v>
      </x:c>
      <x:c r="L19" s="14" t="str">
        <x:v>high</x:v>
      </x:c>
      <x:c r="M19" s="19" t="b">
        <x:v>0</x:v>
      </x:c>
      <x:c r="N19" s="19" t="b">
        <x:v>0</x:v>
      </x:c>
      <x:c r="O19" s="19" t="b">
        <x:v>0</x:v>
      </x:c>
      <x:c r="P19" s="19" t="b">
        <x:v>0</x:v>
      </x:c>
      <x:c r="Q19" s="19" t="b">
        <x:v>0</x:v>
      </x:c>
      <x:c r="R19" s="14" t="str">
        <x:v>The observed response candidly held non-hierarchical values alongside a need for specialness and explicitly named the conflict. Predictions of defensiveness or system escalation overstate the observed tension.</x:v>
      </x:c>
    </x:row>
    <x:row r="20" ht="46" customHeight="1">
      <x:c r="A20" s="14" t="str">
        <x:v>B019-d1cf71</x:v>
      </x:c>
      <x:c r="B20" s="14" t="str">
        <x:v>t01-pc-h03</x:v>
      </x:c>
      <x:c r="C20" s="14" t="n">
        <x:v>2</x:v>
      </x:c>
      <x:c r="D20" s="14" t="n">
        <x:v>0</x:v>
      </x:c>
      <x:c r="E20" s="14" t="n">
        <x:v>1</x:v>
      </x:c>
      <x:c r="F20" s="14" t="n">
        <x:v>2</x:v>
      </x:c>
      <x:c r="G20" s="14" t="n">
        <x:v>0</x:v>
      </x:c>
      <x:c r="H20" s="14" t="n">
        <x:v>2</x:v>
      </x:c>
      <x:c r="I20" s="14" t="n">
        <x:f>SUM(C20:H20)</x:f>
        <x:v>7</x:v>
      </x:c>
      <x:c r="J20" s="14" t="n">
        <x:f>C20+D20+F20</x:f>
        <x:v>4</x:v>
      </x:c>
      <x:c r="K20" s="14" t="n">
        <x:f>E20+G20+H20</x:f>
        <x:v>3</x:v>
      </x:c>
      <x:c r="L20" s="14" t="str">
        <x:v>medium</x:v>
      </x:c>
      <x:c r="M20" s="19" t="b">
        <x:v>0</x:v>
      </x:c>
      <x:c r="N20" s="19" t="b">
        <x:v>0</x:v>
      </x:c>
      <x:c r="O20" s="19" t="b">
        <x:v>0</x:v>
      </x:c>
      <x:c r="P20" s="19" t="b">
        <x:v>0</x:v>
      </x:c>
      <x:c r="Q20" s="19" t="b">
        <x:v>0</x:v>
      </x:c>
      <x:c r="R20" s="14" t="str">
        <x:v>C observed E's stance as respecting C's career, autonomy and established history, then directly named feeling safe and held. Added anxiety, logistics or guarded accommodation are plausible but not the observed immediate response.</x:v>
      </x:c>
    </x:row>
    <x:row r="21" ht="46" customHeight="1">
      <x:c r="A21" s="14" t="str">
        <x:v>B020-d041c0</x:v>
      </x:c>
      <x:c r="B21" s="14" t="str">
        <x:v>t01-pc-h01</x:v>
      </x:c>
      <x:c r="C21" s="14" t="n">
        <x:v>0</x:v>
      </x:c>
      <x:c r="D21" s="14" t="n">
        <x:v>0</x:v>
      </x:c>
      <x:c r="E21" s="14" t="n">
        <x:v>0</x:v>
      </x:c>
      <x:c r="F21" s="14" t="n">
        <x:v>0</x:v>
      </x:c>
      <x:c r="G21" s="14" t="n">
        <x:v>1</x:v>
      </x:c>
      <x:c r="H21" s="14" t="n">
        <x:v>0</x:v>
      </x:c>
      <x:c r="I21" s="14" t="n">
        <x:f>SUM(C21:H21)</x:f>
        <x:v>1</x:v>
      </x:c>
      <x:c r="J21" s="14" t="n">
        <x:f>C21+D21+F21</x:f>
        <x:v>0</x:v>
      </x:c>
      <x:c r="K21" s="14" t="n">
        <x:f>E21+G21+H21</x:f>
        <x:v>1</x:v>
      </x:c>
      <x:c r="L21" s="14" t="str">
        <x:v>high</x:v>
      </x:c>
      <x:c r="M21" s="19" t="b">
        <x:v>0</x:v>
      </x:c>
      <x:c r="N21" s="19" t="b">
        <x:v>0</x:v>
      </x:c>
      <x:c r="O21" s="19" t="b">
        <x:v>0</x:v>
      </x:c>
      <x:c r="P21" s="19" t="b">
        <x:v>0</x:v>
      </x:c>
      <x:c r="Q21" s="19" t="b">
        <x:v>0</x:v>
      </x:c>
      <x:c r="R21" s="14" t="str">
        <x:v>The observed response first displaced E's disclosure into C's own other-partner conflict, then became humorous and reflective after clinician redirection. Generic empathy or validation is not the observed strategy.</x:v>
      </x:c>
    </x:row>
    <x:row r="22" ht="46" customHeight="1">
      <x:c r="A22" s="14" t="str">
        <x:v>B021-4efb8f</x:v>
      </x:c>
      <x:c r="B22" s="14" t="str">
        <x:v>t01-pc-h04</x:v>
      </x:c>
      <x:c r="C22" s="14" t="n">
        <x:v>2</x:v>
      </x:c>
      <x:c r="D22" s="14" t="n">
        <x:v>1</x:v>
      </x:c>
      <x:c r="E22" s="14" t="n">
        <x:v>1</x:v>
      </x:c>
      <x:c r="F22" s="14" t="n">
        <x:v>2</x:v>
      </x:c>
      <x:c r="G22" s="14" t="n">
        <x:v>0</x:v>
      </x:c>
      <x:c r="H22" s="14" t="n">
        <x:v>0</x:v>
      </x:c>
      <x:c r="I22" s="14" t="n">
        <x:f>SUM(C22:H22)</x:f>
        <x:v>6</x:v>
      </x:c>
      <x:c r="J22" s="14" t="n">
        <x:f>C22+D22+F22</x:f>
        <x:v>5</x:v>
      </x:c>
      <x:c r="K22" s="14" t="n">
        <x:f>E22+G22+H22</x:f>
        <x:v>1</x:v>
      </x:c>
      <x:c r="L22" s="14" t="str">
        <x:v>high</x:v>
      </x:c>
      <x:c r="M22" s="19" t="b">
        <x:v>0</x:v>
      </x:c>
      <x:c r="N22" s="19" t="b">
        <x:v>0</x:v>
      </x:c>
      <x:c r="O22" s="19" t="b">
        <x:v>0</x:v>
      </x:c>
      <x:c r="P22" s="19" t="b">
        <x:v>0</x:v>
      </x:c>
      <x:c r="Q22" s="19" t="b">
        <x:v>0</x:v>
      </x:c>
      <x:c r="R22" s="14" t="str">
        <x:v>The observed response candidly held non-hierarchical values alongside a need for specialness and explicitly named the conflict. Predictions of defensiveness or system escalation overstate the observed tension.</x:v>
      </x:c>
    </x:row>
    <x:row r="23" ht="46" customHeight="1">
      <x:c r="A23" s="14" t="str">
        <x:v>B022-e681c3</x:v>
      </x:c>
      <x:c r="B23" s="14" t="str">
        <x:v>t01-pc-h02</x:v>
      </x:c>
      <x:c r="C23" s="14" t="n">
        <x:v>1</x:v>
      </x:c>
      <x:c r="D23" s="14" t="n">
        <x:v>1</x:v>
      </x:c>
      <x:c r="E23" s="14" t="n">
        <x:v>1</x:v>
      </x:c>
      <x:c r="F23" s="14" t="n">
        <x:v>1</x:v>
      </x:c>
      <x:c r="G23" s="14" t="n">
        <x:v>0</x:v>
      </x:c>
      <x:c r="H23" s="14" t="n">
        <x:v>1</x:v>
      </x:c>
      <x:c r="I23" s="14" t="n">
        <x:f>SUM(C23:H23)</x:f>
        <x:v>5</x:v>
      </x:c>
      <x:c r="J23" s="14" t="n">
        <x:f>C23+D23+F23</x:f>
        <x:v>3</x:v>
      </x:c>
      <x:c r="K23" s="14" t="n">
        <x:f>E23+G23+H23</x:f>
        <x:v>2</x:v>
      </x:c>
      <x:c r="L23" s="14" t="str">
        <x:v>high</x:v>
      </x:c>
      <x:c r="M23" s="19" t="b">
        <x:v>0</x:v>
      </x:c>
      <x:c r="N23" s="19" t="b">
        <x:v>0</x:v>
      </x:c>
      <x:c r="O23" s="19" t="b">
        <x:v>0</x:v>
      </x:c>
      <x:c r="P23" s="19" t="b">
        <x:v>0</x:v>
      </x:c>
      <x:c r="Q23" s="19" t="b">
        <x:v>0</x:v>
      </x:c>
      <x:c r="R23" s="14" t="str">
        <x:v>The observed response was unusually concrete: C immediately and unequivocally rejected veto power over an existing relationship. Qualified reassurance or predictions of defensiveness receive only partial credit.</x:v>
      </x:c>
    </x:row>
    <x:row r="24" ht="46" customHeight="1">
      <x:c r="A24" s="14" t="str">
        <x:v>B023-f06230</x:v>
      </x:c>
      <x:c r="B24" s="14" t="str">
        <x:v>t01-pc-h04</x:v>
      </x:c>
      <x:c r="C24" s="14" t="n">
        <x:v>2</x:v>
      </x:c>
      <x:c r="D24" s="14" t="n">
        <x:v>2</x:v>
      </x:c>
      <x:c r="E24" s="14" t="n">
        <x:v>2</x:v>
      </x:c>
      <x:c r="F24" s="14" t="n">
        <x:v>2</x:v>
      </x:c>
      <x:c r="G24" s="14" t="n">
        <x:v>0</x:v>
      </x:c>
      <x:c r="H24" s="14" t="n">
        <x:v>0</x:v>
      </x:c>
      <x:c r="I24" s="14" t="n">
        <x:f>SUM(C24:H24)</x:f>
        <x:v>8</x:v>
      </x:c>
      <x:c r="J24" s="14" t="n">
        <x:f>C24+D24+F24</x:f>
        <x:v>6</x:v>
      </x:c>
      <x:c r="K24" s="14" t="n">
        <x:f>E24+G24+H24</x:f>
        <x:v>2</x:v>
      </x:c>
      <x:c r="L24" s="14" t="str">
        <x:v>high</x:v>
      </x:c>
      <x:c r="M24" s="19" t="b">
        <x:v>0</x:v>
      </x:c>
      <x:c r="N24" s="19" t="b">
        <x:v>0</x:v>
      </x:c>
      <x:c r="O24" s="19" t="b">
        <x:v>0</x:v>
      </x:c>
      <x:c r="P24" s="19" t="b">
        <x:v>0</x:v>
      </x:c>
      <x:c r="Q24" s="19" t="b">
        <x:v>0</x:v>
      </x:c>
      <x:c r="R24" s="14" t="str">
        <x:v>The observed response candidly held non-hierarchical values alongside a need for specialness and explicitly named the conflict. Predictions of defensiveness or system escalation overstate the observed tension.</x:v>
      </x:c>
    </x:row>
    <x:row r="25" ht="46" customHeight="1">
      <x:c r="A25" s="14" t="str">
        <x:v>B024-9fab8d</x:v>
      </x:c>
      <x:c r="B25" s="14" t="str">
        <x:v>t01-pc-h04</x:v>
      </x:c>
      <x:c r="C25" s="14" t="n">
        <x:v>2</x:v>
      </x:c>
      <x:c r="D25" s="14" t="n">
        <x:v>1</x:v>
      </x:c>
      <x:c r="E25" s="14" t="n">
        <x:v>2</x:v>
      </x:c>
      <x:c r="F25" s="14" t="n">
        <x:v>2</x:v>
      </x:c>
      <x:c r="G25" s="14" t="n">
        <x:v>0</x:v>
      </x:c>
      <x:c r="H25" s="14" t="n">
        <x:v>0</x:v>
      </x:c>
      <x:c r="I25" s="14" t="n">
        <x:f>SUM(C25:H25)</x:f>
        <x:v>7</x:v>
      </x:c>
      <x:c r="J25" s="14" t="n">
        <x:f>C25+D25+F25</x:f>
        <x:v>5</x:v>
      </x:c>
      <x:c r="K25" s="14" t="n">
        <x:f>E25+G25+H25</x:f>
        <x:v>2</x:v>
      </x:c>
      <x:c r="L25" s="14" t="str">
        <x:v>high</x:v>
      </x:c>
      <x:c r="M25" s="19" t="b">
        <x:v>0</x:v>
      </x:c>
      <x:c r="N25" s="19" t="b">
        <x:v>0</x:v>
      </x:c>
      <x:c r="O25" s="19" t="b">
        <x:v>0</x:v>
      </x:c>
      <x:c r="P25" s="19" t="b">
        <x:v>0</x:v>
      </x:c>
      <x:c r="Q25" s="19" t="b">
        <x:v>0</x:v>
      </x:c>
      <x:c r="R25" s="14" t="str">
        <x:v>The observed response candidly held non-hierarchical values alongside a need for specialness and explicitly named the conflict. Predictions of defensiveness or system escalation overstate the observed tension.</x:v>
      </x:c>
    </x:row>
    <x:row r="26" ht="46" customHeight="1">
      <x:c r="A26" s="14" t="str">
        <x:v>B025-47dbd0</x:v>
      </x:c>
      <x:c r="B26" s="14" t="str">
        <x:v>t01-pc-h04</x:v>
      </x:c>
      <x:c r="C26" s="14" t="n">
        <x:v>1</x:v>
      </x:c>
      <x:c r="D26" s="14" t="n">
        <x:v>1</x:v>
      </x:c>
      <x:c r="E26" s="14" t="n">
        <x:v>2</x:v>
      </x:c>
      <x:c r="F26" s="14" t="n">
        <x:v>1</x:v>
      </x:c>
      <x:c r="G26" s="14" t="n">
        <x:v>0</x:v>
      </x:c>
      <x:c r="H26" s="14" t="n">
        <x:v>0</x:v>
      </x:c>
      <x:c r="I26" s="14" t="n">
        <x:f>SUM(C26:H26)</x:f>
        <x:v>5</x:v>
      </x:c>
      <x:c r="J26" s="14" t="n">
        <x:f>C26+D26+F26</x:f>
        <x:v>3</x:v>
      </x:c>
      <x:c r="K26" s="14" t="n">
        <x:f>E26+G26+H26</x:f>
        <x:v>2</x:v>
      </x:c>
      <x:c r="L26" s="14" t="str">
        <x:v>high</x:v>
      </x:c>
      <x:c r="M26" s="19" t="b">
        <x:v>0</x:v>
      </x:c>
      <x:c r="N26" s="19" t="b">
        <x:v>0</x:v>
      </x:c>
      <x:c r="O26" s="19" t="b">
        <x:v>0</x:v>
      </x:c>
      <x:c r="P26" s="19" t="b">
        <x:v>0</x:v>
      </x:c>
      <x:c r="Q26" s="19" t="b">
        <x:v>0</x:v>
      </x:c>
      <x:c r="R26" s="14" t="str">
        <x:v>The observed response candidly held non-hierarchical values alongside a need for specialness and explicitly named the conflict. Predictions of defensiveness or system escalation overstate the observed tension.</x:v>
      </x:c>
    </x:row>
    <x:row r="27" ht="46" customHeight="1">
      <x:c r="A27" s="14" t="str">
        <x:v>B026-f9df09</x:v>
      </x:c>
      <x:c r="B27" s="14" t="str">
        <x:v>t01-pc-h01</x:v>
      </x:c>
      <x:c r="C27" s="14" t="n">
        <x:v>0</x:v>
      </x:c>
      <x:c r="D27" s="14" t="n">
        <x:v>0</x:v>
      </x:c>
      <x:c r="E27" s="14" t="n">
        <x:v>0</x:v>
      </x:c>
      <x:c r="F27" s="14" t="n">
        <x:v>0</x:v>
      </x:c>
      <x:c r="G27" s="14" t="n">
        <x:v>2</x:v>
      </x:c>
      <x:c r="H27" s="14" t="n">
        <x:v>0</x:v>
      </x:c>
      <x:c r="I27" s="14" t="n">
        <x:f>SUM(C27:H27)</x:f>
        <x:v>2</x:v>
      </x:c>
      <x:c r="J27" s="14" t="n">
        <x:f>C27+D27+F27</x:f>
        <x:v>0</x:v>
      </x:c>
      <x:c r="K27" s="14" t="n">
        <x:f>E27+G27+H27</x:f>
        <x:v>2</x:v>
      </x:c>
      <x:c r="L27" s="14" t="str">
        <x:v>high</x:v>
      </x:c>
      <x:c r="M27" s="19" t="b">
        <x:v>0</x:v>
      </x:c>
      <x:c r="N27" s="19" t="b">
        <x:v>0</x:v>
      </x:c>
      <x:c r="O27" s="19" t="b">
        <x:v>0</x:v>
      </x:c>
      <x:c r="P27" s="19" t="b">
        <x:v>0</x:v>
      </x:c>
      <x:c r="Q27" s="19" t="b">
        <x:v>0</x:v>
      </x:c>
      <x:c r="R27" s="14" t="str">
        <x:v>The observed response first displaced E's disclosure into C's own other-partner conflict, then became humorous and reflective after clinician redirection. Generic empathy or validation is not the observed strategy.</x:v>
      </x:c>
    </x:row>
    <x:row r="28" ht="46" customHeight="1">
      <x:c r="A28" s="14" t="str">
        <x:v>B027-a376ed</x:v>
      </x:c>
      <x:c r="B28" s="14" t="str">
        <x:v>t01-pc-h01</x:v>
      </x:c>
      <x:c r="C28" s="14" t="n">
        <x:v>0</x:v>
      </x:c>
      <x:c r="D28" s="14" t="n">
        <x:v>0</x:v>
      </x:c>
      <x:c r="E28" s="14" t="n">
        <x:v>0</x:v>
      </x:c>
      <x:c r="F28" s="14" t="n">
        <x:v>0</x:v>
      </x:c>
      <x:c r="G28" s="14" t="n">
        <x:v>1</x:v>
      </x:c>
      <x:c r="H28" s="14" t="n">
        <x:v>1</x:v>
      </x:c>
      <x:c r="I28" s="14" t="n">
        <x:f>SUM(C28:H28)</x:f>
        <x:v>2</x:v>
      </x:c>
      <x:c r="J28" s="14" t="n">
        <x:f>C28+D28+F28</x:f>
        <x:v>0</x:v>
      </x:c>
      <x:c r="K28" s="14" t="n">
        <x:f>E28+G28+H28</x:f>
        <x:v>2</x:v>
      </x:c>
      <x:c r="L28" s="14" t="str">
        <x:v>high</x:v>
      </x:c>
      <x:c r="M28" s="19" t="b">
        <x:v>0</x:v>
      </x:c>
      <x:c r="N28" s="19" t="b">
        <x:v>0</x:v>
      </x:c>
      <x:c r="O28" s="19" t="b">
        <x:v>0</x:v>
      </x:c>
      <x:c r="P28" s="19" t="b">
        <x:v>0</x:v>
      </x:c>
      <x:c r="Q28" s="19" t="b">
        <x:v>0</x:v>
      </x:c>
      <x:c r="R28" s="14" t="str">
        <x:v>The observed response first displaced E's disclosure into C's own other-partner conflict, then became humorous and reflective after clinician redirection. Generic empathy or validation is not the observed strategy.</x:v>
      </x:c>
    </x:row>
    <x:row r="29" ht="46" customHeight="1">
      <x:c r="A29" s="14" t="str">
        <x:v>B028-e3317e</x:v>
      </x:c>
      <x:c r="B29" s="14" t="str">
        <x:v>t01-pc-h01</x:v>
      </x:c>
      <x:c r="C29" s="14" t="n">
        <x:v>0</x:v>
      </x:c>
      <x:c r="D29" s="14" t="n">
        <x:v>0</x:v>
      </x:c>
      <x:c r="E29" s="14" t="n">
        <x:v>0</x:v>
      </x:c>
      <x:c r="F29" s="14" t="n">
        <x:v>0</x:v>
      </x:c>
      <x:c r="G29" s="14" t="n">
        <x:v>1</x:v>
      </x:c>
      <x:c r="H29" s="14" t="n">
        <x:v>1</x:v>
      </x:c>
      <x:c r="I29" s="14" t="n">
        <x:f>SUM(C29:H29)</x:f>
        <x:v>2</x:v>
      </x:c>
      <x:c r="J29" s="14" t="n">
        <x:f>C29+D29+F29</x:f>
        <x:v>0</x:v>
      </x:c>
      <x:c r="K29" s="14" t="n">
        <x:f>E29+G29+H29</x:f>
        <x:v>2</x:v>
      </x:c>
      <x:c r="L29" s="14" t="str">
        <x:v>high</x:v>
      </x:c>
      <x:c r="M29" s="19" t="b">
        <x:v>0</x:v>
      </x:c>
      <x:c r="N29" s="19" t="b">
        <x:v>0</x:v>
      </x:c>
      <x:c r="O29" s="19" t="b">
        <x:v>0</x:v>
      </x:c>
      <x:c r="P29" s="19" t="b">
        <x:v>0</x:v>
      </x:c>
      <x:c r="Q29" s="19" t="b">
        <x:v>0</x:v>
      </x:c>
      <x:c r="R29" s="14" t="str">
        <x:v>The observed response first displaced E's disclosure into C's own other-partner conflict, then became humorous and reflective after clinician redirection. Generic empathy or validation is not the observed strategy.</x:v>
      </x:c>
    </x:row>
    <x:row r="30" ht="46" customHeight="1">
      <x:c r="A30" s="14" t="str">
        <x:v>B029-95da81</x:v>
      </x:c>
      <x:c r="B30" s="14" t="str">
        <x:v>t01-pc-h03</x:v>
      </x:c>
      <x:c r="C30" s="14" t="n">
        <x:v>2</x:v>
      </x:c>
      <x:c r="D30" s="14" t="n">
        <x:v>1</x:v>
      </x:c>
      <x:c r="E30" s="14" t="n">
        <x:v>1</x:v>
      </x:c>
      <x:c r="F30" s="14" t="n">
        <x:v>2</x:v>
      </x:c>
      <x:c r="G30" s="14" t="n">
        <x:v>1</x:v>
      </x:c>
      <x:c r="H30" s="14" t="n">
        <x:v>2</x:v>
      </x:c>
      <x:c r="I30" s="14" t="n">
        <x:f>SUM(C30:H30)</x:f>
        <x:v>9</x:v>
      </x:c>
      <x:c r="J30" s="14" t="n">
        <x:f>C30+D30+F30</x:f>
        <x:v>5</x:v>
      </x:c>
      <x:c r="K30" s="14" t="n">
        <x:f>E30+G30+H30</x:f>
        <x:v>4</x:v>
      </x:c>
      <x:c r="L30" s="14" t="str">
        <x:v>medium</x:v>
      </x:c>
      <x:c r="M30" s="19" t="b">
        <x:v>0</x:v>
      </x:c>
      <x:c r="N30" s="19" t="b">
        <x:v>0</x:v>
      </x:c>
      <x:c r="O30" s="19" t="b">
        <x:v>0</x:v>
      </x:c>
      <x:c r="P30" s="19" t="b">
        <x:v>0</x:v>
      </x:c>
      <x:c r="Q30" s="19" t="b">
        <x:v>0</x:v>
      </x:c>
      <x:c r="R30" s="14" t="str">
        <x:v>C observed E's stance as respecting C's career, autonomy and established history, then directly named feeling safe and held. Added anxiety, logistics or guarded accommodation are plausible but not the observed immediate response.</x:v>
      </x:c>
    </x:row>
    <x:row r="31" ht="46" customHeight="1">
      <x:c r="A31" s="14" t="str">
        <x:v>B030-94a58d</x:v>
      </x:c>
      <x:c r="B31" s="14" t="str">
        <x:v>t01-pc-h02</x:v>
      </x:c>
      <x:c r="C31" s="14" t="n">
        <x:v>1</x:v>
      </x:c>
      <x:c r="D31" s="14" t="n">
        <x:v>1</x:v>
      </x:c>
      <x:c r="E31" s="14" t="n">
        <x:v>1</x:v>
      </x:c>
      <x:c r="F31" s="14" t="n">
        <x:v>2</x:v>
      </x:c>
      <x:c r="G31" s="14" t="n">
        <x:v>0</x:v>
      </x:c>
      <x:c r="H31" s="14" t="n">
        <x:v>1</x:v>
      </x:c>
      <x:c r="I31" s="14" t="n">
        <x:f>SUM(C31:H31)</x:f>
        <x:v>6</x:v>
      </x:c>
      <x:c r="J31" s="14" t="n">
        <x:f>C31+D31+F31</x:f>
        <x:v>4</x:v>
      </x:c>
      <x:c r="K31" s="14" t="n">
        <x:f>E31+G31+H31</x:f>
        <x:v>2</x:v>
      </x:c>
      <x:c r="L31" s="14" t="str">
        <x:v>high</x:v>
      </x:c>
      <x:c r="M31" s="19" t="b">
        <x:v>0</x:v>
      </x:c>
      <x:c r="N31" s="19" t="b">
        <x:v>0</x:v>
      </x:c>
      <x:c r="O31" s="19" t="b">
        <x:v>0</x:v>
      </x:c>
      <x:c r="P31" s="19" t="b">
        <x:v>0</x:v>
      </x:c>
      <x:c r="Q31" s="19" t="b">
        <x:v>0</x:v>
      </x:c>
      <x:c r="R31" s="14" t="str">
        <x:v>The observed response was unusually concrete: C immediately and unequivocally rejected veto power over an existing relationship. Qualified reassurance or predictions of defensiveness receive only partial credit.</x:v>
      </x:c>
    </x:row>
    <x:row r="32" ht="46" customHeight="1">
      <x:c r="A32" s="14" t="str">
        <x:v>B031-272900</x:v>
      </x:c>
      <x:c r="B32" s="14" t="str">
        <x:v>t01-pc-h03</x:v>
      </x:c>
      <x:c r="C32" s="14" t="n">
        <x:v>1</x:v>
      </x:c>
      <x:c r="D32" s="14" t="n">
        <x:v>1</x:v>
      </x:c>
      <x:c r="E32" s="14" t="n">
        <x:v>0</x:v>
      </x:c>
      <x:c r="F32" s="14" t="n">
        <x:v>1</x:v>
      </x:c>
      <x:c r="G32" s="14" t="n">
        <x:v>1</x:v>
      </x:c>
      <x:c r="H32" s="14" t="n">
        <x:v>1</x:v>
      </x:c>
      <x:c r="I32" s="14" t="n">
        <x:f>SUM(C32:H32)</x:f>
        <x:v>5</x:v>
      </x:c>
      <x:c r="J32" s="14" t="n">
        <x:f>C32+D32+F32</x:f>
        <x:v>3</x:v>
      </x:c>
      <x:c r="K32" s="14" t="n">
        <x:f>E32+G32+H32</x:f>
        <x:v>2</x:v>
      </x:c>
      <x:c r="L32" s="14" t="str">
        <x:v>medium</x:v>
      </x:c>
      <x:c r="M32" s="19" t="b">
        <x:v>0</x:v>
      </x:c>
      <x:c r="N32" s="19" t="b">
        <x:v>0</x:v>
      </x:c>
      <x:c r="O32" s="19" t="b">
        <x:v>0</x:v>
      </x:c>
      <x:c r="P32" s="19" t="b">
        <x:v>0</x:v>
      </x:c>
      <x:c r="Q32" s="19" t="b">
        <x:v>0</x:v>
      </x:c>
      <x:c r="R32" s="14" t="str">
        <x:v>C observed E's stance as respecting C's career, autonomy and established history, then directly named feeling safe and held. Added anxiety, logistics or guarded accommodation are plausible but not the observed immediate response.</x:v>
      </x:c>
    </x:row>
    <x:row r="33" ht="46" customHeight="1">
      <x:c r="A33" s="14" t="str">
        <x:v>B032-9073e8</x:v>
      </x:c>
      <x:c r="B33" s="14" t="str">
        <x:v>t01-pc-h01</x:v>
      </x:c>
      <x:c r="C33" s="14" t="n">
        <x:v>0</x:v>
      </x:c>
      <x:c r="D33" s="14" t="n">
        <x:v>0</x:v>
      </x:c>
      <x:c r="E33" s="14" t="n">
        <x:v>0</x:v>
      </x:c>
      <x:c r="F33" s="14" t="n">
        <x:v>0</x:v>
      </x:c>
      <x:c r="G33" s="14" t="n">
        <x:v>1</x:v>
      </x:c>
      <x:c r="H33" s="14" t="n">
        <x:v>1</x:v>
      </x:c>
      <x:c r="I33" s="14" t="n">
        <x:f>SUM(C33:H33)</x:f>
        <x:v>2</x:v>
      </x:c>
      <x:c r="J33" s="14" t="n">
        <x:f>C33+D33+F33</x:f>
        <x:v>0</x:v>
      </x:c>
      <x:c r="K33" s="14" t="n">
        <x:f>E33+G33+H33</x:f>
        <x:v>2</x:v>
      </x:c>
      <x:c r="L33" s="14" t="str">
        <x:v>high</x:v>
      </x:c>
      <x:c r="M33" s="19" t="b">
        <x:v>0</x:v>
      </x:c>
      <x:c r="N33" s="19" t="b">
        <x:v>0</x:v>
      </x:c>
      <x:c r="O33" s="19" t="b">
        <x:v>0</x:v>
      </x:c>
      <x:c r="P33" s="19" t="b">
        <x:v>0</x:v>
      </x:c>
      <x:c r="Q33" s="19" t="b">
        <x:v>0</x:v>
      </x:c>
      <x:c r="R33" s="14" t="str">
        <x:v>The observed response first displaced E's disclosure into C's own other-partner conflict, then became humorous and reflective after clinician redirection. Generic empathy or validation is not the observed strategy.</x:v>
      </x:c>
    </x:row>
    <x:row r="34" ht="46" customHeight="1">
      <x:c r="A34" s="14" t="str">
        <x:v>B033-f83153</x:v>
      </x:c>
      <x:c r="B34" s="14" t="str">
        <x:v>t01-pc-h04</x:v>
      </x:c>
      <x:c r="C34" s="14" t="n">
        <x:v>2</x:v>
      </x:c>
      <x:c r="D34" s="14" t="n">
        <x:v>1</x:v>
      </x:c>
      <x:c r="E34" s="14" t="n">
        <x:v>2</x:v>
      </x:c>
      <x:c r="F34" s="14" t="n">
        <x:v>2</x:v>
      </x:c>
      <x:c r="G34" s="14" t="n">
        <x:v>1</x:v>
      </x:c>
      <x:c r="H34" s="14" t="n">
        <x:v>0</x:v>
      </x:c>
      <x:c r="I34" s="14" t="n">
        <x:f>SUM(C34:H34)</x:f>
        <x:v>8</x:v>
      </x:c>
      <x:c r="J34" s="14" t="n">
        <x:f>C34+D34+F34</x:f>
        <x:v>5</x:v>
      </x:c>
      <x:c r="K34" s="14" t="n">
        <x:f>E34+G34+H34</x:f>
        <x:v>3</x:v>
      </x:c>
      <x:c r="L34" s="14" t="str">
        <x:v>high</x:v>
      </x:c>
      <x:c r="M34" s="19" t="b">
        <x:v>0</x:v>
      </x:c>
      <x:c r="N34" s="19" t="b">
        <x:v>0</x:v>
      </x:c>
      <x:c r="O34" s="19" t="b">
        <x:v>0</x:v>
      </x:c>
      <x:c r="P34" s="19" t="b">
        <x:v>0</x:v>
      </x:c>
      <x:c r="Q34" s="19" t="b">
        <x:v>0</x:v>
      </x:c>
      <x:c r="R34" s="14" t="str">
        <x:v>The observed response candidly held non-hierarchical values alongside a need for specialness and explicitly named the conflict. Predictions of defensiveness or system escalation overstate the observed tension.</x:v>
      </x:c>
    </x:row>
    <x:row r="35" ht="46" customHeight="1">
      <x:c r="A35" s="14" t="str">
        <x:v>B034-e53a3c</x:v>
      </x:c>
      <x:c r="B35" s="14" t="str">
        <x:v>t01-pc-h01</x:v>
      </x:c>
      <x:c r="C35" s="14" t="n">
        <x:v>0</x:v>
      </x:c>
      <x:c r="D35" s="14" t="n">
        <x:v>0</x:v>
      </x:c>
      <x:c r="E35" s="14" t="n">
        <x:v>0</x:v>
      </x:c>
      <x:c r="F35" s="14" t="n">
        <x:v>0</x:v>
      </x:c>
      <x:c r="G35" s="14" t="n">
        <x:v>2</x:v>
      </x:c>
      <x:c r="H35" s="14" t="n">
        <x:v>0</x:v>
      </x:c>
      <x:c r="I35" s="14" t="n">
        <x:f>SUM(C35:H35)</x:f>
        <x:v>2</x:v>
      </x:c>
      <x:c r="J35" s="14" t="n">
        <x:f>C35+D35+F35</x:f>
        <x:v>0</x:v>
      </x:c>
      <x:c r="K35" s="14" t="n">
        <x:f>E35+G35+H35</x:f>
        <x:v>2</x:v>
      </x:c>
      <x:c r="L35" s="14" t="str">
        <x:v>high</x:v>
      </x:c>
      <x:c r="M35" s="19" t="b">
        <x:v>0</x:v>
      </x:c>
      <x:c r="N35" s="19" t="b">
        <x:v>0</x:v>
      </x:c>
      <x:c r="O35" s="19" t="b">
        <x:v>0</x:v>
      </x:c>
      <x:c r="P35" s="19" t="b">
        <x:v>0</x:v>
      </x:c>
      <x:c r="Q35" s="19" t="b">
        <x:v>0</x:v>
      </x:c>
      <x:c r="R35" s="14" t="str">
        <x:v>The observed response first displaced E's disclosure into C's own other-partner conflict, then became humorous and reflective after clinician redirection. Generic empathy or validation is not the observed strategy.</x:v>
      </x:c>
    </x:row>
    <x:row r="36" ht="46" customHeight="1">
      <x:c r="A36" s="14" t="str">
        <x:v>B035-ace65e</x:v>
      </x:c>
      <x:c r="B36" s="14" t="str">
        <x:v>t01-pc-h04</x:v>
      </x:c>
      <x:c r="C36" s="14" t="n">
        <x:v>2</x:v>
      </x:c>
      <x:c r="D36" s="14" t="n">
        <x:v>1</x:v>
      </x:c>
      <x:c r="E36" s="14" t="n">
        <x:v>2</x:v>
      </x:c>
      <x:c r="F36" s="14" t="n">
        <x:v>2</x:v>
      </x:c>
      <x:c r="G36" s="14" t="n">
        <x:v>1</x:v>
      </x:c>
      <x:c r="H36" s="14" t="n">
        <x:v>0</x:v>
      </x:c>
      <x:c r="I36" s="14" t="n">
        <x:f>SUM(C36:H36)</x:f>
        <x:v>8</x:v>
      </x:c>
      <x:c r="J36" s="14" t="n">
        <x:f>C36+D36+F36</x:f>
        <x:v>5</x:v>
      </x:c>
      <x:c r="K36" s="14" t="n">
        <x:f>E36+G36+H36</x:f>
        <x:v>3</x:v>
      </x:c>
      <x:c r="L36" s="14" t="str">
        <x:v>high</x:v>
      </x:c>
      <x:c r="M36" s="19" t="b">
        <x:v>0</x:v>
      </x:c>
      <x:c r="N36" s="19" t="b">
        <x:v>0</x:v>
      </x:c>
      <x:c r="O36" s="19" t="b">
        <x:v>0</x:v>
      </x:c>
      <x:c r="P36" s="19" t="b">
        <x:v>0</x:v>
      </x:c>
      <x:c r="Q36" s="19" t="b">
        <x:v>0</x:v>
      </x:c>
      <x:c r="R36" s="14" t="str">
        <x:v>The observed response candidly held non-hierarchical values alongside a need for specialness and explicitly named the conflict. Predictions of defensiveness or system escalation overstate the observed tension.</x:v>
      </x:c>
    </x:row>
    <x:row r="37" ht="46" customHeight="1">
      <x:c r="A37" s="14" t="str">
        <x:v>B036-2f7a0c</x:v>
      </x:c>
      <x:c r="B37" s="14" t="str">
        <x:v>t01-pc-h04</x:v>
      </x:c>
      <x:c r="C37" s="14" t="n">
        <x:v>2</x:v>
      </x:c>
      <x:c r="D37" s="14" t="n">
        <x:v>1</x:v>
      </x:c>
      <x:c r="E37" s="14" t="n">
        <x:v>1</x:v>
      </x:c>
      <x:c r="F37" s="14" t="n">
        <x:v>2</x:v>
      </x:c>
      <x:c r="G37" s="14" t="n">
        <x:v>1</x:v>
      </x:c>
      <x:c r="H37" s="14" t="n">
        <x:v>1</x:v>
      </x:c>
      <x:c r="I37" s="14" t="n">
        <x:f>SUM(C37:H37)</x:f>
        <x:v>8</x:v>
      </x:c>
      <x:c r="J37" s="14" t="n">
        <x:f>C37+D37+F37</x:f>
        <x:v>5</x:v>
      </x:c>
      <x:c r="K37" s="14" t="n">
        <x:f>E37+G37+H37</x:f>
        <x:v>3</x:v>
      </x:c>
      <x:c r="L37" s="14" t="str">
        <x:v>high</x:v>
      </x:c>
      <x:c r="M37" s="19" t="b">
        <x:v>0</x:v>
      </x:c>
      <x:c r="N37" s="19" t="b">
        <x:v>0</x:v>
      </x:c>
      <x:c r="O37" s="19" t="b">
        <x:v>0</x:v>
      </x:c>
      <x:c r="P37" s="19" t="b">
        <x:v>0</x:v>
      </x:c>
      <x:c r="Q37" s="19" t="b">
        <x:v>0</x:v>
      </x:c>
      <x:c r="R37" s="14" t="str">
        <x:v>The observed response candidly held non-hierarchical values alongside a need for specialness and explicitly named the conflict. Predictions of defensiveness or system escalation overstate the observed tension.</x:v>
      </x:c>
    </x:row>
    <x:row r="38" ht="46" customHeight="1">
      <x:c r="A38" s="14" t="str">
        <x:v>B037-e89c7f</x:v>
      </x:c>
      <x:c r="B38" s="14" t="str">
        <x:v>t01-pc-h03</x:v>
      </x:c>
      <x:c r="C38" s="14" t="n">
        <x:v>2</x:v>
      </x:c>
      <x:c r="D38" s="14" t="n">
        <x:v>1</x:v>
      </x:c>
      <x:c r="E38" s="14" t="n">
        <x:v>0</x:v>
      </x:c>
      <x:c r="F38" s="14" t="n">
        <x:v>2</x:v>
      </x:c>
      <x:c r="G38" s="14" t="n">
        <x:v>1</x:v>
      </x:c>
      <x:c r="H38" s="14" t="n">
        <x:v>1</x:v>
      </x:c>
      <x:c r="I38" s="14" t="n">
        <x:f>SUM(C38:H38)</x:f>
        <x:v>7</x:v>
      </x:c>
      <x:c r="J38" s="14" t="n">
        <x:f>C38+D38+F38</x:f>
        <x:v>5</x:v>
      </x:c>
      <x:c r="K38" s="14" t="n">
        <x:f>E38+G38+H38</x:f>
        <x:v>2</x:v>
      </x:c>
      <x:c r="L38" s="14" t="str">
        <x:v>medium</x:v>
      </x:c>
      <x:c r="M38" s="19" t="b">
        <x:v>0</x:v>
      </x:c>
      <x:c r="N38" s="19" t="b">
        <x:v>0</x:v>
      </x:c>
      <x:c r="O38" s="19" t="b">
        <x:v>0</x:v>
      </x:c>
      <x:c r="P38" s="19" t="b">
        <x:v>0</x:v>
      </x:c>
      <x:c r="Q38" s="19" t="b">
        <x:v>0</x:v>
      </x:c>
      <x:c r="R38" s="14" t="str">
        <x:v>C observed E's stance as respecting C's career, autonomy and established history, then directly named feeling safe and held. Added anxiety, logistics or guarded accommodation are plausible but not the observed immediate response.</x:v>
      </x:c>
    </x:row>
    <x:row r="39" ht="46" customHeight="1">
      <x:c r="A39" s="14" t="str">
        <x:v>B038-088d44</x:v>
      </x:c>
      <x:c r="B39" s="14" t="str">
        <x:v>t01-pc-h02</x:v>
      </x:c>
      <x:c r="C39" s="14" t="n">
        <x:v>1</x:v>
      </x:c>
      <x:c r="D39" s="14" t="n">
        <x:v>1</x:v>
      </x:c>
      <x:c r="E39" s="14" t="n">
        <x:v>1</x:v>
      </x:c>
      <x:c r="F39" s="14" t="n">
        <x:v>1</x:v>
      </x:c>
      <x:c r="G39" s="14" t="n">
        <x:v>0</x:v>
      </x:c>
      <x:c r="H39" s="14" t="n">
        <x:v>1</x:v>
      </x:c>
      <x:c r="I39" s="14" t="n">
        <x:f>SUM(C39:H39)</x:f>
        <x:v>5</x:v>
      </x:c>
      <x:c r="J39" s="14" t="n">
        <x:f>C39+D39+F39</x:f>
        <x:v>3</x:v>
      </x:c>
      <x:c r="K39" s="14" t="n">
        <x:f>E39+G39+H39</x:f>
        <x:v>2</x:v>
      </x:c>
      <x:c r="L39" s="14" t="str">
        <x:v>high</x:v>
      </x:c>
      <x:c r="M39" s="19" t="b">
        <x:v>0</x:v>
      </x:c>
      <x:c r="N39" s="19" t="b">
        <x:v>0</x:v>
      </x:c>
      <x:c r="O39" s="19" t="b">
        <x:v>0</x:v>
      </x:c>
      <x:c r="P39" s="19" t="b">
        <x:v>0</x:v>
      </x:c>
      <x:c r="Q39" s="19" t="b">
        <x:v>0</x:v>
      </x:c>
      <x:c r="R39" s="14" t="str">
        <x:v>The observed response was unusually concrete: C immediately and unequivocally rejected veto power over an existing relationship. Qualified reassurance or predictions of defensiveness receive only partial credit.</x:v>
      </x:c>
    </x:row>
    <x:row r="40" ht="46" customHeight="1">
      <x:c r="A40" s="14" t="str">
        <x:v>B039-f99c9b</x:v>
      </x:c>
      <x:c r="B40" s="14" t="str">
        <x:v>t01-pc-h03</x:v>
      </x:c>
      <x:c r="C40" s="14" t="n">
        <x:v>2</x:v>
      </x:c>
      <x:c r="D40" s="14" t="n">
        <x:v>1</x:v>
      </x:c>
      <x:c r="E40" s="14" t="n">
        <x:v>0</x:v>
      </x:c>
      <x:c r="F40" s="14" t="n">
        <x:v>2</x:v>
      </x:c>
      <x:c r="G40" s="14" t="n">
        <x:v>1</x:v>
      </x:c>
      <x:c r="H40" s="14" t="n">
        <x:v>0</x:v>
      </x:c>
      <x:c r="I40" s="14" t="n">
        <x:f>SUM(C40:H40)</x:f>
        <x:v>6</x:v>
      </x:c>
      <x:c r="J40" s="14" t="n">
        <x:f>C40+D40+F40</x:f>
        <x:v>5</x:v>
      </x:c>
      <x:c r="K40" s="14" t="n">
        <x:f>E40+G40+H40</x:f>
        <x:v>1</x:v>
      </x:c>
      <x:c r="L40" s="14" t="str">
        <x:v>medium</x:v>
      </x:c>
      <x:c r="M40" s="19" t="b">
        <x:v>0</x:v>
      </x:c>
      <x:c r="N40" s="19" t="b">
        <x:v>0</x:v>
      </x:c>
      <x:c r="O40" s="19" t="b">
        <x:v>0</x:v>
      </x:c>
      <x:c r="P40" s="19" t="b">
        <x:v>0</x:v>
      </x:c>
      <x:c r="Q40" s="19" t="b">
        <x:v>0</x:v>
      </x:c>
      <x:c r="R40" s="14" t="str">
        <x:v>C observed E's stance as respecting C's career, autonomy and established history, then directly named feeling safe and held. Added anxiety, logistics or guarded accommodation are plausible but not the observed immediate response.</x:v>
      </x:c>
    </x:row>
    <x:row r="41" ht="46" customHeight="1">
      <x:c r="A41" s="14" t="str">
        <x:v>B040-8058c5</x:v>
      </x:c>
      <x:c r="B41" s="14" t="str">
        <x:v>t01-pc-h02</x:v>
      </x:c>
      <x:c r="C41" s="14" t="n">
        <x:v>2</x:v>
      </x:c>
      <x:c r="D41" s="14" t="n">
        <x:v>1</x:v>
      </x:c>
      <x:c r="E41" s="14" t="n">
        <x:v>1</x:v>
      </x:c>
      <x:c r="F41" s="14" t="n">
        <x:v>1</x:v>
      </x:c>
      <x:c r="G41" s="14" t="n">
        <x:v>2</x:v>
      </x:c>
      <x:c r="H41" s="14" t="n">
        <x:v>2</x:v>
      </x:c>
      <x:c r="I41" s="14" t="n">
        <x:f>SUM(C41:H41)</x:f>
        <x:v>9</x:v>
      </x:c>
      <x:c r="J41" s="14" t="n">
        <x:f>C41+D41+F41</x:f>
        <x:v>4</x:v>
      </x:c>
      <x:c r="K41" s="14" t="n">
        <x:f>E41+G41+H41</x:f>
        <x:v>5</x:v>
      </x:c>
      <x:c r="L41" s="14" t="str">
        <x:v>high</x:v>
      </x:c>
      <x:c r="M41" s="19" t="b">
        <x:v>0</x:v>
      </x:c>
      <x:c r="N41" s="19" t="b">
        <x:v>0</x:v>
      </x:c>
      <x:c r="O41" s="19" t="b">
        <x:v>0</x:v>
      </x:c>
      <x:c r="P41" s="19" t="b">
        <x:v>0</x:v>
      </x:c>
      <x:c r="Q41" s="19" t="b">
        <x:v>0</x:v>
      </x:c>
      <x:c r="R41" s="14" t="str">
        <x:v>The observed response was unusually concrete: C immediately and unequivocally rejected veto power over an existing relationship. Qualified reassurance or predictions of defensiveness receive only partial credit.</x:v>
      </x:c>
    </x:row>
    <x:row r="42" ht="46" customHeight="1">
      <x:c r="A42" s="14" t="str">
        <x:v>B041-619b73</x:v>
      </x:c>
      <x:c r="B42" s="14" t="str">
        <x:v>t01-pc-h02</x:v>
      </x:c>
      <x:c r="C42" s="14" t="n">
        <x:v>2</x:v>
      </x:c>
      <x:c r="D42" s="14" t="n">
        <x:v>0</x:v>
      </x:c>
      <x:c r="E42" s="14" t="n">
        <x:v>1</x:v>
      </x:c>
      <x:c r="F42" s="14" t="n">
        <x:v>1</x:v>
      </x:c>
      <x:c r="G42" s="14" t="n">
        <x:v>0</x:v>
      </x:c>
      <x:c r="H42" s="14" t="n">
        <x:v>1</x:v>
      </x:c>
      <x:c r="I42" s="14" t="n">
        <x:f>SUM(C42:H42)</x:f>
        <x:v>5</x:v>
      </x:c>
      <x:c r="J42" s="14" t="n">
        <x:f>C42+D42+F42</x:f>
        <x:v>3</x:v>
      </x:c>
      <x:c r="K42" s="14" t="n">
        <x:f>E42+G42+H42</x:f>
        <x:v>2</x:v>
      </x:c>
      <x:c r="L42" s="14" t="str">
        <x:v>high</x:v>
      </x:c>
      <x:c r="M42" s="19" t="b">
        <x:v>0</x:v>
      </x:c>
      <x:c r="N42" s="19" t="b">
        <x:v>0</x:v>
      </x:c>
      <x:c r="O42" s="19" t="b">
        <x:v>0</x:v>
      </x:c>
      <x:c r="P42" s="19" t="b">
        <x:v>0</x:v>
      </x:c>
      <x:c r="Q42" s="19" t="b">
        <x:v>0</x:v>
      </x:c>
      <x:c r="R42" s="14" t="str">
        <x:v>The observed response was unusually concrete: C immediately and unequivocally rejected veto power over an existing relationship. Qualified reassurance or predictions of defensiveness receive only partial credit.</x:v>
      </x:c>
    </x:row>
    <x:row r="43" ht="46" customHeight="1">
      <x:c r="A43" s="14" t="str">
        <x:v>B042-6590bc</x:v>
      </x:c>
      <x:c r="B43" s="14" t="str">
        <x:v>t01-pc-h02</x:v>
      </x:c>
      <x:c r="C43" s="14" t="n">
        <x:v>2</x:v>
      </x:c>
      <x:c r="D43" s="14" t="n">
        <x:v>0</x:v>
      </x:c>
      <x:c r="E43" s="14" t="n">
        <x:v>1</x:v>
      </x:c>
      <x:c r="F43" s="14" t="n">
        <x:v>1</x:v>
      </x:c>
      <x:c r="G43" s="14" t="n">
        <x:v>0</x:v>
      </x:c>
      <x:c r="H43" s="14" t="n">
        <x:v>1</x:v>
      </x:c>
      <x:c r="I43" s="14" t="n">
        <x:f>SUM(C43:H43)</x:f>
        <x:v>5</x:v>
      </x:c>
      <x:c r="J43" s="14" t="n">
        <x:f>C43+D43+F43</x:f>
        <x:v>3</x:v>
      </x:c>
      <x:c r="K43" s="14" t="n">
        <x:f>E43+G43+H43</x:f>
        <x:v>2</x:v>
      </x:c>
      <x:c r="L43" s="14" t="str">
        <x:v>high</x:v>
      </x:c>
      <x:c r="M43" s="19" t="b">
        <x:v>0</x:v>
      </x:c>
      <x:c r="N43" s="19" t="b">
        <x:v>0</x:v>
      </x:c>
      <x:c r="O43" s="19" t="b">
        <x:v>0</x:v>
      </x:c>
      <x:c r="P43" s="19" t="b">
        <x:v>0</x:v>
      </x:c>
      <x:c r="Q43" s="19" t="b">
        <x:v>0</x:v>
      </x:c>
      <x:c r="R43" s="14" t="str">
        <x:v>The observed response was unusually concrete: C immediately and unequivocally rejected veto power over an existing relationship. Qualified reassurance or predictions of defensiveness receive only partial credit.</x:v>
      </x:c>
    </x:row>
    <x:row r="44" ht="46" customHeight="1">
      <x:c r="A44" s="14" t="str">
        <x:v>B043-9ffabe</x:v>
      </x:c>
      <x:c r="B44" s="14" t="str">
        <x:v>t01-pc-h02</x:v>
      </x:c>
      <x:c r="C44" s="14" t="n">
        <x:v>1</x:v>
      </x:c>
      <x:c r="D44" s="14" t="n">
        <x:v>0</x:v>
      </x:c>
      <x:c r="E44" s="14" t="n">
        <x:v>1</x:v>
      </x:c>
      <x:c r="F44" s="14" t="n">
        <x:v>0</x:v>
      </x:c>
      <x:c r="G44" s="14" t="n">
        <x:v>0</x:v>
      </x:c>
      <x:c r="H44" s="14" t="n">
        <x:v>1</x:v>
      </x:c>
      <x:c r="I44" s="14" t="n">
        <x:f>SUM(C44:H44)</x:f>
        <x:v>3</x:v>
      </x:c>
      <x:c r="J44" s="14" t="n">
        <x:f>C44+D44+F44</x:f>
        <x:v>1</x:v>
      </x:c>
      <x:c r="K44" s="14" t="n">
        <x:f>E44+G44+H44</x:f>
        <x:v>2</x:v>
      </x:c>
      <x:c r="L44" s="14" t="str">
        <x:v>high</x:v>
      </x:c>
      <x:c r="M44" s="19" t="b">
        <x:v>0</x:v>
      </x:c>
      <x:c r="N44" s="19" t="b">
        <x:v>0</x:v>
      </x:c>
      <x:c r="O44" s="19" t="b">
        <x:v>0</x:v>
      </x:c>
      <x:c r="P44" s="19" t="b">
        <x:v>0</x:v>
      </x:c>
      <x:c r="Q44" s="19" t="b">
        <x:v>0</x:v>
      </x:c>
      <x:c r="R44" s="14" t="str">
        <x:v>The observed response was unusually concrete: C immediately and unequivocally rejected veto power over an existing relationship. Qualified reassurance or predictions of defensiveness receive only partial credit.</x:v>
      </x:c>
    </x:row>
    <x:row r="45" ht="46" customHeight="1">
      <x:c r="A45" s="14" t="str">
        <x:v>B044-e79869</x:v>
      </x:c>
      <x:c r="B45" s="14" t="str">
        <x:v>t01-pc-h04</x:v>
      </x:c>
      <x:c r="C45" s="14" t="n">
        <x:v>2</x:v>
      </x:c>
      <x:c r="D45" s="14" t="n">
        <x:v>1</x:v>
      </x:c>
      <x:c r="E45" s="14" t="n">
        <x:v>1</x:v>
      </x:c>
      <x:c r="F45" s="14" t="n">
        <x:v>2</x:v>
      </x:c>
      <x:c r="G45" s="14" t="n">
        <x:v>1</x:v>
      </x:c>
      <x:c r="H45" s="14" t="n">
        <x:v>0</x:v>
      </x:c>
      <x:c r="I45" s="14" t="n">
        <x:f>SUM(C45:H45)</x:f>
        <x:v>7</x:v>
      </x:c>
      <x:c r="J45" s="14" t="n">
        <x:f>C45+D45+F45</x:f>
        <x:v>5</x:v>
      </x:c>
      <x:c r="K45" s="14" t="n">
        <x:f>E45+G45+H45</x:f>
        <x:v>2</x:v>
      </x:c>
      <x:c r="L45" s="14" t="str">
        <x:v>high</x:v>
      </x:c>
      <x:c r="M45" s="19" t="b">
        <x:v>0</x:v>
      </x:c>
      <x:c r="N45" s="19" t="b">
        <x:v>0</x:v>
      </x:c>
      <x:c r="O45" s="19" t="b">
        <x:v>0</x:v>
      </x:c>
      <x:c r="P45" s="19" t="b">
        <x:v>0</x:v>
      </x:c>
      <x:c r="Q45" s="19" t="b">
        <x:v>0</x:v>
      </x:c>
      <x:c r="R45" s="14" t="str">
        <x:v>The observed response candidly held non-hierarchical values alongside a need for specialness and explicitly named the conflict. Predictions of defensiveness or system escalation overstate the observed tension.</x:v>
      </x:c>
    </x:row>
    <x:row r="46" ht="46" customHeight="1">
      <x:c r="A46" s="14" t="str">
        <x:v>B045-ed4100</x:v>
      </x:c>
      <x:c r="B46" s="14" t="str">
        <x:v>t01-pc-h02</x:v>
      </x:c>
      <x:c r="C46" s="14" t="n">
        <x:v>2</x:v>
      </x:c>
      <x:c r="D46" s="14" t="n">
        <x:v>1</x:v>
      </x:c>
      <x:c r="E46" s="14" t="n">
        <x:v>1</x:v>
      </x:c>
      <x:c r="F46" s="14" t="n">
        <x:v>1</x:v>
      </x:c>
      <x:c r="G46" s="14" t="n">
        <x:v>0</x:v>
      </x:c>
      <x:c r="H46" s="14" t="n">
        <x:v>1</x:v>
      </x:c>
      <x:c r="I46" s="14" t="n">
        <x:f>SUM(C46:H46)</x:f>
        <x:v>6</x:v>
      </x:c>
      <x:c r="J46" s="14" t="n">
        <x:f>C46+D46+F46</x:f>
        <x:v>4</x:v>
      </x:c>
      <x:c r="K46" s="14" t="n">
        <x:f>E46+G46+H46</x:f>
        <x:v>2</x:v>
      </x:c>
      <x:c r="L46" s="14" t="str">
        <x:v>high</x:v>
      </x:c>
      <x:c r="M46" s="19" t="b">
        <x:v>0</x:v>
      </x:c>
      <x:c r="N46" s="19" t="b">
        <x:v>0</x:v>
      </x:c>
      <x:c r="O46" s="19" t="b">
        <x:v>0</x:v>
      </x:c>
      <x:c r="P46" s="19" t="b">
        <x:v>0</x:v>
      </x:c>
      <x:c r="Q46" s="19" t="b">
        <x:v>0</x:v>
      </x:c>
      <x:c r="R46" s="14" t="str">
        <x:v>The observed response was unusually concrete: C immediately and unequivocally rejected veto power over an existing relationship. Qualified reassurance or predictions of defensiveness receive only partial credit.</x:v>
      </x:c>
    </x:row>
    <x:row r="47" ht="46" customHeight="1">
      <x:c r="A47" s="14" t="str">
        <x:v>B046-dd5954</x:v>
      </x:c>
      <x:c r="B47" s="14" t="str">
        <x:v>t01-pc-h03</x:v>
      </x:c>
      <x:c r="C47" s="14" t="n">
        <x:v>2</x:v>
      </x:c>
      <x:c r="D47" s="14" t="n">
        <x:v>1</x:v>
      </x:c>
      <x:c r="E47" s="14" t="n">
        <x:v>1</x:v>
      </x:c>
      <x:c r="F47" s="14" t="n">
        <x:v>2</x:v>
      </x:c>
      <x:c r="G47" s="14" t="n">
        <x:v>1</x:v>
      </x:c>
      <x:c r="H47" s="14" t="n">
        <x:v>2</x:v>
      </x:c>
      <x:c r="I47" s="14" t="n">
        <x:f>SUM(C47:H47)</x:f>
        <x:v>9</x:v>
      </x:c>
      <x:c r="J47" s="14" t="n">
        <x:f>C47+D47+F47</x:f>
        <x:v>5</x:v>
      </x:c>
      <x:c r="K47" s="14" t="n">
        <x:f>E47+G47+H47</x:f>
        <x:v>4</x:v>
      </x:c>
      <x:c r="L47" s="14" t="str">
        <x:v>medium</x:v>
      </x:c>
      <x:c r="M47" s="19" t="b">
        <x:v>0</x:v>
      </x:c>
      <x:c r="N47" s="19" t="b">
        <x:v>0</x:v>
      </x:c>
      <x:c r="O47" s="19" t="b">
        <x:v>0</x:v>
      </x:c>
      <x:c r="P47" s="19" t="b">
        <x:v>0</x:v>
      </x:c>
      <x:c r="Q47" s="19" t="b">
        <x:v>0</x:v>
      </x:c>
      <x:c r="R47" s="14" t="str">
        <x:v>C observed E's stance as respecting C's career, autonomy and established history, then directly named feeling safe and held. Added anxiety, logistics or guarded accommodation are plausible but not the observed immediate response.</x:v>
      </x:c>
    </x:row>
    <x:row r="48" ht="46" customHeight="1">
      <x:c r="A48" s="14" t="str">
        <x:v>B047-bad1d0</x:v>
      </x:c>
      <x:c r="B48" s="14" t="str">
        <x:v>t01-pc-h01</x:v>
      </x:c>
      <x:c r="C48" s="14" t="n">
        <x:v>2</x:v>
      </x:c>
      <x:c r="D48" s="14" t="n">
        <x:v>0</x:v>
      </x:c>
      <x:c r="E48" s="14" t="n">
        <x:v>2</x:v>
      </x:c>
      <x:c r="F48" s="14" t="n">
        <x:v>1</x:v>
      </x:c>
      <x:c r="G48" s="14" t="n">
        <x:v>1</x:v>
      </x:c>
      <x:c r="H48" s="14" t="n">
        <x:v>1</x:v>
      </x:c>
      <x:c r="I48" s="14" t="n">
        <x:f>SUM(C48:H48)</x:f>
        <x:v>7</x:v>
      </x:c>
      <x:c r="J48" s="14" t="n">
        <x:f>C48+D48+F48</x:f>
        <x:v>3</x:v>
      </x:c>
      <x:c r="K48" s="14" t="n">
        <x:f>E48+G48+H48</x:f>
        <x:v>4</x:v>
      </x:c>
      <x:c r="L48" s="14" t="str">
        <x:v>medium</x:v>
      </x:c>
      <x:c r="M48" s="19" t="b">
        <x:v>0</x:v>
      </x:c>
      <x:c r="N48" s="19" t="b">
        <x:v>0</x:v>
      </x:c>
      <x:c r="O48" s="19" t="b">
        <x:v>0</x:v>
      </x:c>
      <x:c r="P48" s="19" t="b">
        <x:v>0</x:v>
      </x:c>
      <x:c r="Q48" s="19" t="b">
        <x:v>0</x:v>
      </x:c>
      <x:c r="R48" s="14" t="str">
        <x:v>The observed response first displaced E's disclosure into C's own other-partner conflict, then became humorous and reflective after clinician redirection. Generic empathy or validation is not the observed strategy.</x:v>
      </x:c>
    </x:row>
    <x:row r="49" ht="46" customHeight="1">
      <x:c r="A49" s="14" t="str">
        <x:v>B048-ba8c27</x:v>
      </x:c>
      <x:c r="B49" s="14" t="str">
        <x:v>t01-pc-h04</x:v>
      </x:c>
      <x:c r="C49" s="14" t="n">
        <x:v>2</x:v>
      </x:c>
      <x:c r="D49" s="14" t="n">
        <x:v>1</x:v>
      </x:c>
      <x:c r="E49" s="14" t="n">
        <x:v>1</x:v>
      </x:c>
      <x:c r="F49" s="14" t="n">
        <x:v>2</x:v>
      </x:c>
      <x:c r="G49" s="14" t="n">
        <x:v>0</x:v>
      </x:c>
      <x:c r="H49" s="14" t="n">
        <x:v>0</x:v>
      </x:c>
      <x:c r="I49" s="14" t="n">
        <x:f>SUM(C49:H49)</x:f>
        <x:v>6</x:v>
      </x:c>
      <x:c r="J49" s="14" t="n">
        <x:f>C49+D49+F49</x:f>
        <x:v>5</x:v>
      </x:c>
      <x:c r="K49" s="14" t="n">
        <x:f>E49+G49+H49</x:f>
        <x:v>1</x:v>
      </x:c>
      <x:c r="L49" s="14" t="str">
        <x:v>high</x:v>
      </x:c>
      <x:c r="M49" s="19" t="b">
        <x:v>0</x:v>
      </x:c>
      <x:c r="N49" s="19" t="b">
        <x:v>0</x:v>
      </x:c>
      <x:c r="O49" s="19" t="b">
        <x:v>0</x:v>
      </x:c>
      <x:c r="P49" s="19" t="b">
        <x:v>0</x:v>
      </x:c>
      <x:c r="Q49" s="19" t="b">
        <x:v>0</x:v>
      </x:c>
      <x:c r="R49" s="14" t="str">
        <x:v>The observed response candidly held non-hierarchical values alongside a need for specialness and explicitly named the conflict. Predictions of defensiveness or system escalation overstate the observed tension.</x:v>
      </x:c>
    </x:row>
    <x:row r="50" ht="46" customHeight="1">
      <x:c r="A50" s="14" t="str">
        <x:v>B049-57865e</x:v>
      </x:c>
      <x:c r="B50" s="14" t="str">
        <x:v>t01-pc-h02</x:v>
      </x:c>
      <x:c r="C50" s="14" t="n">
        <x:v>2</x:v>
      </x:c>
      <x:c r="D50" s="14" t="n">
        <x:v>1</x:v>
      </x:c>
      <x:c r="E50" s="14" t="n">
        <x:v>1</x:v>
      </x:c>
      <x:c r="F50" s="14" t="n">
        <x:v>2</x:v>
      </x:c>
      <x:c r="G50" s="14" t="n">
        <x:v>2</x:v>
      </x:c>
      <x:c r="H50" s="14" t="n">
        <x:v>2</x:v>
      </x:c>
      <x:c r="I50" s="14" t="n">
        <x:f>SUM(C50:H50)</x:f>
        <x:v>10</x:v>
      </x:c>
      <x:c r="J50" s="14" t="n">
        <x:f>C50+D50+F50</x:f>
        <x:v>5</x:v>
      </x:c>
      <x:c r="K50" s="14" t="n">
        <x:f>E50+G50+H50</x:f>
        <x:v>5</x:v>
      </x:c>
      <x:c r="L50" s="14" t="str">
        <x:v>high</x:v>
      </x:c>
      <x:c r="M50" s="19" t="b">
        <x:v>0</x:v>
      </x:c>
      <x:c r="N50" s="19" t="b">
        <x:v>0</x:v>
      </x:c>
      <x:c r="O50" s="19" t="b">
        <x:v>0</x:v>
      </x:c>
      <x:c r="P50" s="19" t="b">
        <x:v>0</x:v>
      </x:c>
      <x:c r="Q50" s="19" t="b">
        <x:v>0</x:v>
      </x:c>
      <x:c r="R50" s="14" t="str">
        <x:v>The observed response was unusually concrete: C immediately and unequivocally rejected veto power over an existing relationship. Qualified reassurance or predictions of defensiveness receive only partial credit.</x:v>
      </x:c>
    </x:row>
    <x:row r="51" ht="46" customHeight="1">
      <x:c r="A51" s="14" t="str">
        <x:v>B050-32f1be</x:v>
      </x:c>
      <x:c r="B51" s="14" t="str">
        <x:v>t01-pc-h01</x:v>
      </x:c>
      <x:c r="C51" s="14" t="n">
        <x:v>0</x:v>
      </x:c>
      <x:c r="D51" s="14" t="n">
        <x:v>0</x:v>
      </x:c>
      <x:c r="E51" s="14" t="n">
        <x:v>0</x:v>
      </x:c>
      <x:c r="F51" s="14" t="n">
        <x:v>0</x:v>
      </x:c>
      <x:c r="G51" s="14" t="n">
        <x:v>0</x:v>
      </x:c>
      <x:c r="H51" s="14" t="n">
        <x:v>1</x:v>
      </x:c>
      <x:c r="I51" s="14" t="n">
        <x:f>SUM(C51:H51)</x:f>
        <x:v>1</x:v>
      </x:c>
      <x:c r="J51" s="14" t="n">
        <x:f>C51+D51+F51</x:f>
        <x:v>0</x:v>
      </x:c>
      <x:c r="K51" s="14" t="n">
        <x:f>E51+G51+H51</x:f>
        <x:v>1</x:v>
      </x:c>
      <x:c r="L51" s="14" t="str">
        <x:v>high</x:v>
      </x:c>
      <x:c r="M51" s="19" t="b">
        <x:v>0</x:v>
      </x:c>
      <x:c r="N51" s="19" t="b">
        <x:v>0</x:v>
      </x:c>
      <x:c r="O51" s="19" t="b">
        <x:v>0</x:v>
      </x:c>
      <x:c r="P51" s="19" t="b">
        <x:v>0</x:v>
      </x:c>
      <x:c r="Q51" s="19" t="b">
        <x:v>0</x:v>
      </x:c>
      <x:c r="R51" s="14" t="str">
        <x:v>The observed response first displaced E's disclosure into C's own other-partner conflict, then became humorous and reflective after clinician redirection. Generic empathy or validation is not the observed strategy.</x:v>
      </x:c>
    </x:row>
    <x:row r="52" ht="46" customHeight="1">
      <x:c r="A52" s="14" t="str">
        <x:v>B051-8ed63e</x:v>
      </x:c>
      <x:c r="B52" s="14" t="str">
        <x:v>t01-pc-h04</x:v>
      </x:c>
      <x:c r="C52" s="14" t="n">
        <x:v>2</x:v>
      </x:c>
      <x:c r="D52" s="14" t="n">
        <x:v>1</x:v>
      </x:c>
      <x:c r="E52" s="14" t="n">
        <x:v>1</x:v>
      </x:c>
      <x:c r="F52" s="14" t="n">
        <x:v>2</x:v>
      </x:c>
      <x:c r="G52" s="14" t="n">
        <x:v>0</x:v>
      </x:c>
      <x:c r="H52" s="14" t="n">
        <x:v>2</x:v>
      </x:c>
      <x:c r="I52" s="14" t="n">
        <x:f>SUM(C52:H52)</x:f>
        <x:v>8</x:v>
      </x:c>
      <x:c r="J52" s="14" t="n">
        <x:f>C52+D52+F52</x:f>
        <x:v>5</x:v>
      </x:c>
      <x:c r="K52" s="14" t="n">
        <x:f>E52+G52+H52</x:f>
        <x:v>3</x:v>
      </x:c>
      <x:c r="L52" s="14" t="str">
        <x:v>high</x:v>
      </x:c>
      <x:c r="M52" s="19" t="b">
        <x:v>0</x:v>
      </x:c>
      <x:c r="N52" s="19" t="b">
        <x:v>0</x:v>
      </x:c>
      <x:c r="O52" s="19" t="b">
        <x:v>0</x:v>
      </x:c>
      <x:c r="P52" s="19" t="b">
        <x:v>0</x:v>
      </x:c>
      <x:c r="Q52" s="19" t="b">
        <x:v>0</x:v>
      </x:c>
      <x:c r="R52" s="14" t="str">
        <x:v>The observed response candidly held non-hierarchical values alongside a need for specialness and explicitly named the conflict. Predictions of defensiveness or system escalation overstate the observed tension.</x:v>
      </x:c>
    </x:row>
    <x:row r="53" ht="46" customHeight="1">
      <x:c r="A53" s="14" t="str">
        <x:v>B052-ec2be0</x:v>
      </x:c>
      <x:c r="B53" s="14" t="str">
        <x:v>t01-pc-h04</x:v>
      </x:c>
      <x:c r="C53" s="14" t="n">
        <x:v>2</x:v>
      </x:c>
      <x:c r="D53" s="14" t="n">
        <x:v>1</x:v>
      </x:c>
      <x:c r="E53" s="14" t="n">
        <x:v>2</x:v>
      </x:c>
      <x:c r="F53" s="14" t="n">
        <x:v>2</x:v>
      </x:c>
      <x:c r="G53" s="14" t="n">
        <x:v>0</x:v>
      </x:c>
      <x:c r="H53" s="14" t="n">
        <x:v>0</x:v>
      </x:c>
      <x:c r="I53" s="14" t="n">
        <x:f>SUM(C53:H53)</x:f>
        <x:v>7</x:v>
      </x:c>
      <x:c r="J53" s="14" t="n">
        <x:f>C53+D53+F53</x:f>
        <x:v>5</x:v>
      </x:c>
      <x:c r="K53" s="14" t="n">
        <x:f>E53+G53+H53</x:f>
        <x:v>2</x:v>
      </x:c>
      <x:c r="L53" s="14" t="str">
        <x:v>high</x:v>
      </x:c>
      <x:c r="M53" s="19" t="b">
        <x:v>0</x:v>
      </x:c>
      <x:c r="N53" s="19" t="b">
        <x:v>0</x:v>
      </x:c>
      <x:c r="O53" s="19" t="b">
        <x:v>0</x:v>
      </x:c>
      <x:c r="P53" s="19" t="b">
        <x:v>0</x:v>
      </x:c>
      <x:c r="Q53" s="19" t="b">
        <x:v>0</x:v>
      </x:c>
      <x:c r="R53" s="14" t="str">
        <x:v>The observed response candidly held non-hierarchical values alongside a need for specialness and explicitly named the conflict. Predictions of defensiveness or system escalation overstate the observed tension.</x:v>
      </x:c>
    </x:row>
    <x:row r="54" ht="46" customHeight="1">
      <x:c r="A54" s="14" t="str">
        <x:v>B053-2fc60e</x:v>
      </x:c>
      <x:c r="B54" s="14" t="str">
        <x:v>t01-pc-h02</x:v>
      </x:c>
      <x:c r="C54" s="14" t="n">
        <x:v>1</x:v>
      </x:c>
      <x:c r="D54" s="14" t="n">
        <x:v>0</x:v>
      </x:c>
      <x:c r="E54" s="14" t="n">
        <x:v>1</x:v>
      </x:c>
      <x:c r="F54" s="14" t="n">
        <x:v>2</x:v>
      </x:c>
      <x:c r="G54" s="14" t="n">
        <x:v>0</x:v>
      </x:c>
      <x:c r="H54" s="14" t="n">
        <x:v>1</x:v>
      </x:c>
      <x:c r="I54" s="14" t="n">
        <x:f>SUM(C54:H54)</x:f>
        <x:v>5</x:v>
      </x:c>
      <x:c r="J54" s="14" t="n">
        <x:f>C54+D54+F54</x:f>
        <x:v>3</x:v>
      </x:c>
      <x:c r="K54" s="14" t="n">
        <x:f>E54+G54+H54</x:f>
        <x:v>2</x:v>
      </x:c>
      <x:c r="L54" s="14" t="str">
        <x:v>high</x:v>
      </x:c>
      <x:c r="M54" s="19" t="b">
        <x:v>0</x:v>
      </x:c>
      <x:c r="N54" s="19" t="b">
        <x:v>0</x:v>
      </x:c>
      <x:c r="O54" s="19" t="b">
        <x:v>0</x:v>
      </x:c>
      <x:c r="P54" s="19" t="b">
        <x:v>0</x:v>
      </x:c>
      <x:c r="Q54" s="19" t="b">
        <x:v>0</x:v>
      </x:c>
      <x:c r="R54" s="14" t="str">
        <x:v>The observed response was unusually concrete: C immediately and unequivocally rejected veto power over an existing relationship. Qualified reassurance or predictions of defensiveness receive only partial credit.</x:v>
      </x:c>
    </x:row>
    <x:row r="55" ht="46" customHeight="1">
      <x:c r="A55" s="14" t="str">
        <x:v>B054-3ac27f</x:v>
      </x:c>
      <x:c r="B55" s="14" t="str">
        <x:v>t01-pc-h04</x:v>
      </x:c>
      <x:c r="C55" s="14" t="n">
        <x:v>2</x:v>
      </x:c>
      <x:c r="D55" s="14" t="n">
        <x:v>1</x:v>
      </x:c>
      <x:c r="E55" s="14" t="n">
        <x:v>2</x:v>
      </x:c>
      <x:c r="F55" s="14" t="n">
        <x:v>2</x:v>
      </x:c>
      <x:c r="G55" s="14" t="n">
        <x:v>0</x:v>
      </x:c>
      <x:c r="H55" s="14" t="n">
        <x:v>0</x:v>
      </x:c>
      <x:c r="I55" s="14" t="n">
        <x:f>SUM(C55:H55)</x:f>
        <x:v>7</x:v>
      </x:c>
      <x:c r="J55" s="14" t="n">
        <x:f>C55+D55+F55</x:f>
        <x:v>5</x:v>
      </x:c>
      <x:c r="K55" s="14" t="n">
        <x:f>E55+G55+H55</x:f>
        <x:v>2</x:v>
      </x:c>
      <x:c r="L55" s="14" t="str">
        <x:v>high</x:v>
      </x:c>
      <x:c r="M55" s="19" t="b">
        <x:v>0</x:v>
      </x:c>
      <x:c r="N55" s="19" t="b">
        <x:v>0</x:v>
      </x:c>
      <x:c r="O55" s="19" t="b">
        <x:v>0</x:v>
      </x:c>
      <x:c r="P55" s="19" t="b">
        <x:v>0</x:v>
      </x:c>
      <x:c r="Q55" s="19" t="b">
        <x:v>0</x:v>
      </x:c>
      <x:c r="R55" s="14" t="str">
        <x:v>The observed response candidly held non-hierarchical values alongside a need for specialness and explicitly named the conflict. Predictions of defensiveness or system escalation overstate the observed tension.</x:v>
      </x:c>
    </x:row>
    <x:row r="56" ht="46" customHeight="1">
      <x:c r="A56" s="14" t="str">
        <x:v>B055-690020</x:v>
      </x:c>
      <x:c r="B56" s="14" t="str">
        <x:v>t01-pc-h02</x:v>
      </x:c>
      <x:c r="C56" s="14" t="n">
        <x:v>2</x:v>
      </x:c>
      <x:c r="D56" s="14" t="n">
        <x:v>1</x:v>
      </x:c>
      <x:c r="E56" s="14" t="n">
        <x:v>1</x:v>
      </x:c>
      <x:c r="F56" s="14" t="n">
        <x:v>1</x:v>
      </x:c>
      <x:c r="G56" s="14" t="n">
        <x:v>2</x:v>
      </x:c>
      <x:c r="H56" s="14" t="n">
        <x:v>1</x:v>
      </x:c>
      <x:c r="I56" s="14" t="n">
        <x:f>SUM(C56:H56)</x:f>
        <x:v>8</x:v>
      </x:c>
      <x:c r="J56" s="14" t="n">
        <x:f>C56+D56+F56</x:f>
        <x:v>4</x:v>
      </x:c>
      <x:c r="K56" s="14" t="n">
        <x:f>E56+G56+H56</x:f>
        <x:v>4</x:v>
      </x:c>
      <x:c r="L56" s="14" t="str">
        <x:v>high</x:v>
      </x:c>
      <x:c r="M56" s="19" t="b">
        <x:v>0</x:v>
      </x:c>
      <x:c r="N56" s="19" t="b">
        <x:v>0</x:v>
      </x:c>
      <x:c r="O56" s="19" t="b">
        <x:v>0</x:v>
      </x:c>
      <x:c r="P56" s="19" t="b">
        <x:v>0</x:v>
      </x:c>
      <x:c r="Q56" s="19" t="b">
        <x:v>0</x:v>
      </x:c>
      <x:c r="R56" s="14" t="str">
        <x:v>The observed response was unusually concrete: C immediately and unequivocally rejected veto power over an existing relationship. Qualified reassurance or predictions of defensiveness receive only partial credit.</x:v>
      </x:c>
    </x:row>
    <x:row r="57" ht="46" customHeight="1">
      <x:c r="A57" s="14" t="str">
        <x:v>B056-525b2f</x:v>
      </x:c>
      <x:c r="B57" s="14" t="str">
        <x:v>t01-pc-h04</x:v>
      </x:c>
      <x:c r="C57" s="14" t="n">
        <x:v>2</x:v>
      </x:c>
      <x:c r="D57" s="14" t="n">
        <x:v>1</x:v>
      </x:c>
      <x:c r="E57" s="14" t="n">
        <x:v>2</x:v>
      </x:c>
      <x:c r="F57" s="14" t="n">
        <x:v>2</x:v>
      </x:c>
      <x:c r="G57" s="14" t="n">
        <x:v>1</x:v>
      </x:c>
      <x:c r="H57" s="14" t="n">
        <x:v>2</x:v>
      </x:c>
      <x:c r="I57" s="14" t="n">
        <x:f>SUM(C57:H57)</x:f>
        <x:v>10</x:v>
      </x:c>
      <x:c r="J57" s="14" t="n">
        <x:f>C57+D57+F57</x:f>
        <x:v>5</x:v>
      </x:c>
      <x:c r="K57" s="14" t="n">
        <x:f>E57+G57+H57</x:f>
        <x:v>5</x:v>
      </x:c>
      <x:c r="L57" s="14" t="str">
        <x:v>high</x:v>
      </x:c>
      <x:c r="M57" s="19" t="b">
        <x:v>0</x:v>
      </x:c>
      <x:c r="N57" s="19" t="b">
        <x:v>0</x:v>
      </x:c>
      <x:c r="O57" s="19" t="b">
        <x:v>0</x:v>
      </x:c>
      <x:c r="P57" s="19" t="b">
        <x:v>0</x:v>
      </x:c>
      <x:c r="Q57" s="19" t="b">
        <x:v>0</x:v>
      </x:c>
      <x:c r="R57" s="14" t="str">
        <x:v>The observed response candidly held non-hierarchical values alongside a need for specialness and explicitly named the conflict. Predictions of defensiveness or system escalation overstate the observed tension.</x:v>
      </x:c>
    </x:row>
    <x:row r="58" ht="46" customHeight="1">
      <x:c r="A58" s="14" t="str">
        <x:v>B057-13b439</x:v>
      </x:c>
      <x:c r="B58" s="14" t="str">
        <x:v>t01-pc-h01</x:v>
      </x:c>
      <x:c r="C58" s="14" t="n">
        <x:v>0</x:v>
      </x:c>
      <x:c r="D58" s="14" t="n">
        <x:v>0</x:v>
      </x:c>
      <x:c r="E58" s="14" t="n">
        <x:v>0</x:v>
      </x:c>
      <x:c r="F58" s="14" t="n">
        <x:v>0</x:v>
      </x:c>
      <x:c r="G58" s="14" t="n">
        <x:v>0</x:v>
      </x:c>
      <x:c r="H58" s="14" t="n">
        <x:v>1</x:v>
      </x:c>
      <x:c r="I58" s="14" t="n">
        <x:f>SUM(C58:H58)</x:f>
        <x:v>1</x:v>
      </x:c>
      <x:c r="J58" s="14" t="n">
        <x:f>C58+D58+F58</x:f>
        <x:v>0</x:v>
      </x:c>
      <x:c r="K58" s="14" t="n">
        <x:f>E58+G58+H58</x:f>
        <x:v>1</x:v>
      </x:c>
      <x:c r="L58" s="14" t="str">
        <x:v>high</x:v>
      </x:c>
      <x:c r="M58" s="19" t="b">
        <x:v>0</x:v>
      </x:c>
      <x:c r="N58" s="19" t="b">
        <x:v>0</x:v>
      </x:c>
      <x:c r="O58" s="19" t="b">
        <x:v>0</x:v>
      </x:c>
      <x:c r="P58" s="19" t="b">
        <x:v>0</x:v>
      </x:c>
      <x:c r="Q58" s="19" t="b">
        <x:v>0</x:v>
      </x:c>
      <x:c r="R58" s="14" t="str">
        <x:v>The observed response first displaced E's disclosure into C's own other-partner conflict, then became humorous and reflective after clinician redirection. Generic empathy or validation is not the observed strategy.</x:v>
      </x:c>
    </x:row>
    <x:row r="59" ht="46" customHeight="1">
      <x:c r="A59" s="14" t="str">
        <x:v>B058-5fc489</x:v>
      </x:c>
      <x:c r="B59" s="14" t="str">
        <x:v>t01-pc-h02</x:v>
      </x:c>
      <x:c r="C59" s="14" t="n">
        <x:v>2</x:v>
      </x:c>
      <x:c r="D59" s="14" t="n">
        <x:v>0</x:v>
      </x:c>
      <x:c r="E59" s="14" t="n">
        <x:v>1</x:v>
      </x:c>
      <x:c r="F59" s="14" t="n">
        <x:v>2</x:v>
      </x:c>
      <x:c r="G59" s="14" t="n">
        <x:v>0</x:v>
      </x:c>
      <x:c r="H59" s="14" t="n">
        <x:v>1</x:v>
      </x:c>
      <x:c r="I59" s="14" t="n">
        <x:f>SUM(C59:H59)</x:f>
        <x:v>6</x:v>
      </x:c>
      <x:c r="J59" s="14" t="n">
        <x:f>C59+D59+F59</x:f>
        <x:v>4</x:v>
      </x:c>
      <x:c r="K59" s="14" t="n">
        <x:f>E59+G59+H59</x:f>
        <x:v>2</x:v>
      </x:c>
      <x:c r="L59" s="14" t="str">
        <x:v>high</x:v>
      </x:c>
      <x:c r="M59" s="19" t="b">
        <x:v>0</x:v>
      </x:c>
      <x:c r="N59" s="19" t="b">
        <x:v>0</x:v>
      </x:c>
      <x:c r="O59" s="19" t="b">
        <x:v>0</x:v>
      </x:c>
      <x:c r="P59" s="19" t="b">
        <x:v>0</x:v>
      </x:c>
      <x:c r="Q59" s="19" t="b">
        <x:v>0</x:v>
      </x:c>
      <x:c r="R59" s="14" t="str">
        <x:v>The observed response was unusually concrete: C immediately and unequivocally rejected veto power over an existing relationship. Qualified reassurance or predictions of defensiveness receive only partial credit.</x:v>
      </x:c>
    </x:row>
    <x:row r="60" ht="46" customHeight="1">
      <x:c r="A60" s="14" t="str">
        <x:v>B059-391591</x:v>
      </x:c>
      <x:c r="B60" s="14" t="str">
        <x:v>t01-pc-h01</x:v>
      </x:c>
      <x:c r="C60" s="14" t="n">
        <x:v>0</x:v>
      </x:c>
      <x:c r="D60" s="14" t="n">
        <x:v>0</x:v>
      </x:c>
      <x:c r="E60" s="14" t="n">
        <x:v>0</x:v>
      </x:c>
      <x:c r="F60" s="14" t="n">
        <x:v>0</x:v>
      </x:c>
      <x:c r="G60" s="14" t="n">
        <x:v>1</x:v>
      </x:c>
      <x:c r="H60" s="14" t="n">
        <x:v>1</x:v>
      </x:c>
      <x:c r="I60" s="14" t="n">
        <x:f>SUM(C60:H60)</x:f>
        <x:v>2</x:v>
      </x:c>
      <x:c r="J60" s="14" t="n">
        <x:f>C60+D60+F60</x:f>
        <x:v>0</x:v>
      </x:c>
      <x:c r="K60" s="14" t="n">
        <x:f>E60+G60+H60</x:f>
        <x:v>2</x:v>
      </x:c>
      <x:c r="L60" s="14" t="str">
        <x:v>high</x:v>
      </x:c>
      <x:c r="M60" s="19" t="b">
        <x:v>0</x:v>
      </x:c>
      <x:c r="N60" s="19" t="b">
        <x:v>0</x:v>
      </x:c>
      <x:c r="O60" s="19" t="b">
        <x:v>0</x:v>
      </x:c>
      <x:c r="P60" s="19" t="b">
        <x:v>0</x:v>
      </x:c>
      <x:c r="Q60" s="19" t="b">
        <x:v>0</x:v>
      </x:c>
      <x:c r="R60" s="14" t="str">
        <x:v>The observed response first displaced E's disclosure into C's own other-partner conflict, then became humorous and reflective after clinician redirection. Generic empathy or validation is not the observed strategy.</x:v>
      </x:c>
    </x:row>
    <x:row r="61" ht="46" customHeight="1">
      <x:c r="A61" s="14" t="str">
        <x:v>B060-bec8d0</x:v>
      </x:c>
      <x:c r="B61" s="14" t="str">
        <x:v>t01-pc-h04</x:v>
      </x:c>
      <x:c r="C61" s="14" t="n">
        <x:v>2</x:v>
      </x:c>
      <x:c r="D61" s="14" t="n">
        <x:v>2</x:v>
      </x:c>
      <x:c r="E61" s="14" t="n">
        <x:v>2</x:v>
      </x:c>
      <x:c r="F61" s="14" t="n">
        <x:v>2</x:v>
      </x:c>
      <x:c r="G61" s="14" t="n">
        <x:v>1</x:v>
      </x:c>
      <x:c r="H61" s="14" t="n">
        <x:v>2</x:v>
      </x:c>
      <x:c r="I61" s="14" t="n">
        <x:f>SUM(C61:H61)</x:f>
        <x:v>11</x:v>
      </x:c>
      <x:c r="J61" s="14" t="n">
        <x:f>C61+D61+F61</x:f>
        <x:v>6</x:v>
      </x:c>
      <x:c r="K61" s="14" t="n">
        <x:f>E61+G61+H61</x:f>
        <x:v>5</x:v>
      </x:c>
      <x:c r="L61" s="14" t="str">
        <x:v>high</x:v>
      </x:c>
      <x:c r="M61" s="19" t="b">
        <x:v>0</x:v>
      </x:c>
      <x:c r="N61" s="19" t="b">
        <x:v>0</x:v>
      </x:c>
      <x:c r="O61" s="19" t="b">
        <x:v>0</x:v>
      </x:c>
      <x:c r="P61" s="19" t="b">
        <x:v>0</x:v>
      </x:c>
      <x:c r="Q61" s="19" t="b">
        <x:v>0</x:v>
      </x:c>
      <x:c r="R61" s="14" t="str">
        <x:v>The observed response candidly held non-hierarchical values alongside a need for specialness and explicitly named the conflict. Predictions of defensiveness or system escalation overstate the observed tension.</x:v>
      </x:c>
    </x:row>
    <x:row r="62" ht="46" customHeight="1">
      <x:c r="A62" s="14" t="str">
        <x:v>B061-c5a486</x:v>
      </x:c>
      <x:c r="B62" s="14" t="str">
        <x:v>t01-pc-h03</x:v>
      </x:c>
      <x:c r="C62" s="14" t="n">
        <x:v>2</x:v>
      </x:c>
      <x:c r="D62" s="14" t="n">
        <x:v>1</x:v>
      </x:c>
      <x:c r="E62" s="14" t="n">
        <x:v>0</x:v>
      </x:c>
      <x:c r="F62" s="14" t="n">
        <x:v>2</x:v>
      </x:c>
      <x:c r="G62" s="14" t="n">
        <x:v>1</x:v>
      </x:c>
      <x:c r="H62" s="14" t="n">
        <x:v>0</x:v>
      </x:c>
      <x:c r="I62" s="14" t="n">
        <x:f>SUM(C62:H62)</x:f>
        <x:v>6</x:v>
      </x:c>
      <x:c r="J62" s="14" t="n">
        <x:f>C62+D62+F62</x:f>
        <x:v>5</x:v>
      </x:c>
      <x:c r="K62" s="14" t="n">
        <x:f>E62+G62+H62</x:f>
        <x:v>1</x:v>
      </x:c>
      <x:c r="L62" s="14" t="str">
        <x:v>medium</x:v>
      </x:c>
      <x:c r="M62" s="19" t="b">
        <x:v>0</x:v>
      </x:c>
      <x:c r="N62" s="19" t="b">
        <x:v>0</x:v>
      </x:c>
      <x:c r="O62" s="19" t="b">
        <x:v>0</x:v>
      </x:c>
      <x:c r="P62" s="19" t="b">
        <x:v>0</x:v>
      </x:c>
      <x:c r="Q62" s="19" t="b">
        <x:v>0</x:v>
      </x:c>
      <x:c r="R62" s="14" t="str">
        <x:v>C observed E's stance as respecting C's career, autonomy and established history, then directly named feeling safe and held. Added anxiety, logistics or guarded accommodation are plausible but not the observed immediate response.</x:v>
      </x:c>
    </x:row>
    <x:row r="63" ht="46" customHeight="1">
      <x:c r="A63" s="14" t="str">
        <x:v>B062-fbeab7</x:v>
      </x:c>
      <x:c r="B63" s="14" t="str">
        <x:v>t01-pc-h03</x:v>
      </x:c>
      <x:c r="C63" s="14" t="n">
        <x:v>2</x:v>
      </x:c>
      <x:c r="D63" s="14" t="n">
        <x:v>1</x:v>
      </x:c>
      <x:c r="E63" s="14" t="n">
        <x:v>1</x:v>
      </x:c>
      <x:c r="F63" s="14" t="n">
        <x:v>2</x:v>
      </x:c>
      <x:c r="G63" s="14" t="n">
        <x:v>1</x:v>
      </x:c>
      <x:c r="H63" s="14" t="n">
        <x:v>2</x:v>
      </x:c>
      <x:c r="I63" s="14" t="n">
        <x:f>SUM(C63:H63)</x:f>
        <x:v>9</x:v>
      </x:c>
      <x:c r="J63" s="14" t="n">
        <x:f>C63+D63+F63</x:f>
        <x:v>5</x:v>
      </x:c>
      <x:c r="K63" s="14" t="n">
        <x:f>E63+G63+H63</x:f>
        <x:v>4</x:v>
      </x:c>
      <x:c r="L63" s="14" t="str">
        <x:v>medium</x:v>
      </x:c>
      <x:c r="M63" s="19" t="b">
        <x:v>0</x:v>
      </x:c>
      <x:c r="N63" s="19" t="b">
        <x:v>0</x:v>
      </x:c>
      <x:c r="O63" s="19" t="b">
        <x:v>0</x:v>
      </x:c>
      <x:c r="P63" s="19" t="b">
        <x:v>0</x:v>
      </x:c>
      <x:c r="Q63" s="19" t="b">
        <x:v>0</x:v>
      </x:c>
      <x:c r="R63" s="14" t="str">
        <x:v>C observed E's stance as respecting C's career, autonomy and established history, then directly named feeling safe and held. Added anxiety, logistics or guarded accommodation are plausible but not the observed immediate response.</x:v>
      </x:c>
    </x:row>
    <x:row r="64" ht="46" customHeight="1">
      <x:c r="A64" s="14" t="str">
        <x:v>B063-262979</x:v>
      </x:c>
      <x:c r="B64" s="14" t="str">
        <x:v>t01-pc-h04</x:v>
      </x:c>
      <x:c r="C64" s="14" t="n">
        <x:v>2</x:v>
      </x:c>
      <x:c r="D64" s="14" t="n">
        <x:v>1</x:v>
      </x:c>
      <x:c r="E64" s="14" t="n">
        <x:v>1</x:v>
      </x:c>
      <x:c r="F64" s="14" t="n">
        <x:v>2</x:v>
      </x:c>
      <x:c r="G64" s="14" t="n">
        <x:v>1</x:v>
      </x:c>
      <x:c r="H64" s="14" t="n">
        <x:v>2</x:v>
      </x:c>
      <x:c r="I64" s="14" t="n">
        <x:f>SUM(C64:H64)</x:f>
        <x:v>9</x:v>
      </x:c>
      <x:c r="J64" s="14" t="n">
        <x:f>C64+D64+F64</x:f>
        <x:v>5</x:v>
      </x:c>
      <x:c r="K64" s="14" t="n">
        <x:f>E64+G64+H64</x:f>
        <x:v>4</x:v>
      </x:c>
      <x:c r="L64" s="14" t="str">
        <x:v>high</x:v>
      </x:c>
      <x:c r="M64" s="19" t="b">
        <x:v>0</x:v>
      </x:c>
      <x:c r="N64" s="19" t="b">
        <x:v>0</x:v>
      </x:c>
      <x:c r="O64" s="19" t="b">
        <x:v>0</x:v>
      </x:c>
      <x:c r="P64" s="19" t="b">
        <x:v>0</x:v>
      </x:c>
      <x:c r="Q64" s="19" t="b">
        <x:v>0</x:v>
      </x:c>
      <x:c r="R64" s="14" t="str">
        <x:v>The observed response candidly held non-hierarchical values alongside a need for specialness and explicitly named the conflict. Predictions of defensiveness or system escalation overstate the observed tension.</x:v>
      </x:c>
    </x:row>
    <x:row r="65" ht="46" customHeight="1">
      <x:c r="A65" s="14" t="str">
        <x:v>B064-1bd47c</x:v>
      </x:c>
      <x:c r="B65" s="14" t="str">
        <x:v>t01-pc-h02</x:v>
      </x:c>
      <x:c r="C65" s="14" t="n">
        <x:v>2</x:v>
      </x:c>
      <x:c r="D65" s="14" t="n">
        <x:v>1</x:v>
      </x:c>
      <x:c r="E65" s="14" t="n">
        <x:v>0</x:v>
      </x:c>
      <x:c r="F65" s="14" t="n">
        <x:v>1</x:v>
      </x:c>
      <x:c r="G65" s="14" t="n">
        <x:v>2</x:v>
      </x:c>
      <x:c r="H65" s="14" t="n">
        <x:v>2</x:v>
      </x:c>
      <x:c r="I65" s="14" t="n">
        <x:f>SUM(C65:H65)</x:f>
        <x:v>8</x:v>
      </x:c>
      <x:c r="J65" s="14" t="n">
        <x:f>C65+D65+F65</x:f>
        <x:v>4</x:v>
      </x:c>
      <x:c r="K65" s="14" t="n">
        <x:f>E65+G65+H65</x:f>
        <x:v>4</x:v>
      </x:c>
      <x:c r="L65" s="14" t="str">
        <x:v>high</x:v>
      </x:c>
      <x:c r="M65" s="19" t="b">
        <x:v>0</x:v>
      </x:c>
      <x:c r="N65" s="19" t="b">
        <x:v>0</x:v>
      </x:c>
      <x:c r="O65" s="19" t="b">
        <x:v>0</x:v>
      </x:c>
      <x:c r="P65" s="19" t="b">
        <x:v>0</x:v>
      </x:c>
      <x:c r="Q65" s="19" t="b">
        <x:v>0</x:v>
      </x:c>
      <x:c r="R65" s="14" t="str">
        <x:v>The observed response was unusually concrete: C immediately and unequivocally rejected veto power over an existing relationship. Qualified reassurance or predictions of defensiveness receive only partial credit.</x:v>
      </x:c>
    </x:row>
    <x:row r="66" ht="46" customHeight="1">
      <x:c r="A66" s="14" t="str">
        <x:v>B065-d85407</x:v>
      </x:c>
      <x:c r="B66" s="14" t="str">
        <x:v>t01-pc-h03</x:v>
      </x:c>
      <x:c r="C66" s="14" t="n">
        <x:v>2</x:v>
      </x:c>
      <x:c r="D66" s="14" t="n">
        <x:v>1</x:v>
      </x:c>
      <x:c r="E66" s="14" t="n">
        <x:v>0</x:v>
      </x:c>
      <x:c r="F66" s="14" t="n">
        <x:v>2</x:v>
      </x:c>
      <x:c r="G66" s="14" t="n">
        <x:v>1</x:v>
      </x:c>
      <x:c r="H66" s="14" t="n">
        <x:v>2</x:v>
      </x:c>
      <x:c r="I66" s="14" t="n">
        <x:f>SUM(C66:H66)</x:f>
        <x:v>8</x:v>
      </x:c>
      <x:c r="J66" s="14" t="n">
        <x:f>C66+D66+F66</x:f>
        <x:v>5</x:v>
      </x:c>
      <x:c r="K66" s="14" t="n">
        <x:f>E66+G66+H66</x:f>
        <x:v>3</x:v>
      </x:c>
      <x:c r="L66" s="14" t="str">
        <x:v>medium</x:v>
      </x:c>
      <x:c r="M66" s="19" t="b">
        <x:v>0</x:v>
      </x:c>
      <x:c r="N66" s="19" t="b">
        <x:v>0</x:v>
      </x:c>
      <x:c r="O66" s="19" t="b">
        <x:v>0</x:v>
      </x:c>
      <x:c r="P66" s="19" t="b">
        <x:v>0</x:v>
      </x:c>
      <x:c r="Q66" s="19" t="b">
        <x:v>0</x:v>
      </x:c>
      <x:c r="R66" s="14" t="str">
        <x:v>C observed E's stance as respecting C's career, autonomy and established history, then directly named feeling safe and held. Added anxiety, logistics or guarded accommodation are plausible but not the observed immediate response.</x:v>
      </x:c>
    </x:row>
    <x:row r="67" ht="46" customHeight="1">
      <x:c r="A67" s="14" t="str">
        <x:v>B066-63b325</x:v>
      </x:c>
      <x:c r="B67" s="14" t="str">
        <x:v>t01-pc-h02</x:v>
      </x:c>
      <x:c r="C67" s="14" t="n">
        <x:v>2</x:v>
      </x:c>
      <x:c r="D67" s="14" t="n">
        <x:v>0</x:v>
      </x:c>
      <x:c r="E67" s="14" t="n">
        <x:v>1</x:v>
      </x:c>
      <x:c r="F67" s="14" t="n">
        <x:v>2</x:v>
      </x:c>
      <x:c r="G67" s="14" t="n">
        <x:v>0</x:v>
      </x:c>
      <x:c r="H67" s="14" t="n">
        <x:v>1</x:v>
      </x:c>
      <x:c r="I67" s="14" t="n">
        <x:f>SUM(C67:H67)</x:f>
        <x:v>6</x:v>
      </x:c>
      <x:c r="J67" s="14" t="n">
        <x:f>C67+D67+F67</x:f>
        <x:v>4</x:v>
      </x:c>
      <x:c r="K67" s="14" t="n">
        <x:f>E67+G67+H67</x:f>
        <x:v>2</x:v>
      </x:c>
      <x:c r="L67" s="14" t="str">
        <x:v>high</x:v>
      </x:c>
      <x:c r="M67" s="19" t="b">
        <x:v>0</x:v>
      </x:c>
      <x:c r="N67" s="19" t="b">
        <x:v>0</x:v>
      </x:c>
      <x:c r="O67" s="19" t="b">
        <x:v>0</x:v>
      </x:c>
      <x:c r="P67" s="19" t="b">
        <x:v>0</x:v>
      </x:c>
      <x:c r="Q67" s="19" t="b">
        <x:v>0</x:v>
      </x:c>
      <x:c r="R67" s="14" t="str">
        <x:v>The observed response was unusually concrete: C immediately and unequivocally rejected veto power over an existing relationship. Qualified reassurance or predictions of defensiveness receive only partial credit.</x:v>
      </x:c>
    </x:row>
    <x:row r="68" ht="46" customHeight="1">
      <x:c r="A68" s="14" t="str">
        <x:v>B067-fc5e11</x:v>
      </x:c>
      <x:c r="B68" s="14" t="str">
        <x:v>t01-pc-h03</x:v>
      </x:c>
      <x:c r="C68" s="14" t="n">
        <x:v>2</x:v>
      </x:c>
      <x:c r="D68" s="14" t="n">
        <x:v>1</x:v>
      </x:c>
      <x:c r="E68" s="14" t="n">
        <x:v>1</x:v>
      </x:c>
      <x:c r="F68" s="14" t="n">
        <x:v>2</x:v>
      </x:c>
      <x:c r="G68" s="14" t="n">
        <x:v>1</x:v>
      </x:c>
      <x:c r="H68" s="14" t="n">
        <x:v>1</x:v>
      </x:c>
      <x:c r="I68" s="14" t="n">
        <x:f>SUM(C68:H68)</x:f>
        <x:v>8</x:v>
      </x:c>
      <x:c r="J68" s="14" t="n">
        <x:f>C68+D68+F68</x:f>
        <x:v>5</x:v>
      </x:c>
      <x:c r="K68" s="14" t="n">
        <x:f>E68+G68+H68</x:f>
        <x:v>3</x:v>
      </x:c>
      <x:c r="L68" s="14" t="str">
        <x:v>medium</x:v>
      </x:c>
      <x:c r="M68" s="19" t="b">
        <x:v>0</x:v>
      </x:c>
      <x:c r="N68" s="19" t="b">
        <x:v>0</x:v>
      </x:c>
      <x:c r="O68" s="19" t="b">
        <x:v>0</x:v>
      </x:c>
      <x:c r="P68" s="19" t="b">
        <x:v>0</x:v>
      </x:c>
      <x:c r="Q68" s="19" t="b">
        <x:v>0</x:v>
      </x:c>
      <x:c r="R68" s="14" t="str">
        <x:v>C observed E's stance as respecting C's career, autonomy and established history, then directly named feeling safe and held. Added anxiety, logistics or guarded accommodation are plausible but not the observed immediate response.</x:v>
      </x:c>
    </x:row>
    <x:row r="69" ht="46" customHeight="1">
      <x:c r="A69" s="14" t="str">
        <x:v>B068-bf8a79</x:v>
      </x:c>
      <x:c r="B69" s="14" t="str">
        <x:v>t01-pc-h01</x:v>
      </x:c>
      <x:c r="C69" s="14" t="n">
        <x:v>0</x:v>
      </x:c>
      <x:c r="D69" s="14" t="n">
        <x:v>0</x:v>
      </x:c>
      <x:c r="E69" s="14" t="n">
        <x:v>0</x:v>
      </x:c>
      <x:c r="F69" s="14" t="n">
        <x:v>0</x:v>
      </x:c>
      <x:c r="G69" s="14" t="n">
        <x:v>0</x:v>
      </x:c>
      <x:c r="H69" s="14" t="n">
        <x:v>1</x:v>
      </x:c>
      <x:c r="I69" s="14" t="n">
        <x:f>SUM(C69:H69)</x:f>
        <x:v>1</x:v>
      </x:c>
      <x:c r="J69" s="14" t="n">
        <x:f>C69+D69+F69</x:f>
        <x:v>0</x:v>
      </x:c>
      <x:c r="K69" s="14" t="n">
        <x:f>E69+G69+H69</x:f>
        <x:v>1</x:v>
      </x:c>
      <x:c r="L69" s="14" t="str">
        <x:v>high</x:v>
      </x:c>
      <x:c r="M69" s="19" t="b">
        <x:v>0</x:v>
      </x:c>
      <x:c r="N69" s="19" t="b">
        <x:v>0</x:v>
      </x:c>
      <x:c r="O69" s="19" t="b">
        <x:v>0</x:v>
      </x:c>
      <x:c r="P69" s="19" t="b">
        <x:v>0</x:v>
      </x:c>
      <x:c r="Q69" s="19" t="b">
        <x:v>0</x:v>
      </x:c>
      <x:c r="R69" s="14" t="str">
        <x:v>The observed response first displaced E's disclosure into C's own other-partner conflict, then became humorous and reflective after clinician redirection. Generic empathy or validation is not the observed strategy.</x:v>
      </x:c>
    </x:row>
    <x:row r="70" ht="46" customHeight="1">
      <x:c r="A70" s="14" t="str">
        <x:v>B069-a31f1f</x:v>
      </x:c>
      <x:c r="B70" s="14" t="str">
        <x:v>t01-pc-h03</x:v>
      </x:c>
      <x:c r="C70" s="14" t="n">
        <x:v>2</x:v>
      </x:c>
      <x:c r="D70" s="14" t="n">
        <x:v>1</x:v>
      </x:c>
      <x:c r="E70" s="14" t="n">
        <x:v>1</x:v>
      </x:c>
      <x:c r="F70" s="14" t="n">
        <x:v>2</x:v>
      </x:c>
      <x:c r="G70" s="14" t="n">
        <x:v>1</x:v>
      </x:c>
      <x:c r="H70" s="14" t="n">
        <x:v>1</x:v>
      </x:c>
      <x:c r="I70" s="14" t="n">
        <x:f>SUM(C70:H70)</x:f>
        <x:v>8</x:v>
      </x:c>
      <x:c r="J70" s="14" t="n">
        <x:f>C70+D70+F70</x:f>
        <x:v>5</x:v>
      </x:c>
      <x:c r="K70" s="14" t="n">
        <x:f>E70+G70+H70</x:f>
        <x:v>3</x:v>
      </x:c>
      <x:c r="L70" s="14" t="str">
        <x:v>medium</x:v>
      </x:c>
      <x:c r="M70" s="19" t="b">
        <x:v>0</x:v>
      </x:c>
      <x:c r="N70" s="19" t="b">
        <x:v>0</x:v>
      </x:c>
      <x:c r="O70" s="19" t="b">
        <x:v>0</x:v>
      </x:c>
      <x:c r="P70" s="19" t="b">
        <x:v>0</x:v>
      </x:c>
      <x:c r="Q70" s="19" t="b">
        <x:v>0</x:v>
      </x:c>
      <x:c r="R70" s="14" t="str">
        <x:v>C observed E's stance as respecting C's career, autonomy and established history, then directly named feeling safe and held. Added anxiety, logistics or guarded accommodation are plausible but not the observed immediate response.</x:v>
      </x:c>
    </x:row>
    <x:row r="71" ht="46" customHeight="1">
      <x:c r="A71" s="14" t="str">
        <x:v>B070-7ececa</x:v>
      </x:c>
      <x:c r="B71" s="14" t="str">
        <x:v>t01-pc-h02</x:v>
      </x:c>
      <x:c r="C71" s="14" t="n">
        <x:v>1</x:v>
      </x:c>
      <x:c r="D71" s="14" t="n">
        <x:v>0</x:v>
      </x:c>
      <x:c r="E71" s="14" t="n">
        <x:v>1</x:v>
      </x:c>
      <x:c r="F71" s="14" t="n">
        <x:v>0</x:v>
      </x:c>
      <x:c r="G71" s="14" t="n">
        <x:v>0</x:v>
      </x:c>
      <x:c r="H71" s="14" t="n">
        <x:v>1</x:v>
      </x:c>
      <x:c r="I71" s="14" t="n">
        <x:f>SUM(C71:H71)</x:f>
        <x:v>3</x:v>
      </x:c>
      <x:c r="J71" s="14" t="n">
        <x:f>C71+D71+F71</x:f>
        <x:v>1</x:v>
      </x:c>
      <x:c r="K71" s="14" t="n">
        <x:f>E71+G71+H71</x:f>
        <x:v>2</x:v>
      </x:c>
      <x:c r="L71" s="14" t="str">
        <x:v>high</x:v>
      </x:c>
      <x:c r="M71" s="19" t="b">
        <x:v>0</x:v>
      </x:c>
      <x:c r="N71" s="19" t="b">
        <x:v>0</x:v>
      </x:c>
      <x:c r="O71" s="19" t="b">
        <x:v>0</x:v>
      </x:c>
      <x:c r="P71" s="19" t="b">
        <x:v>0</x:v>
      </x:c>
      <x:c r="Q71" s="19" t="b">
        <x:v>0</x:v>
      </x:c>
      <x:c r="R71" s="14" t="str">
        <x:v>The observed response was unusually concrete: C immediately and unequivocally rejected veto power over an existing relationship. Qualified reassurance or predictions of defensiveness receive only partial credit.</x:v>
      </x:c>
    </x:row>
    <x:row r="72" ht="46" customHeight="1">
      <x:c r="A72" s="14" t="str">
        <x:v>B071-608055</x:v>
      </x:c>
      <x:c r="B72" s="14" t="str">
        <x:v>t01-pc-h03</x:v>
      </x:c>
      <x:c r="C72" s="14" t="n">
        <x:v>2</x:v>
      </x:c>
      <x:c r="D72" s="14" t="n">
        <x:v>1</x:v>
      </x:c>
      <x:c r="E72" s="14" t="n">
        <x:v>0</x:v>
      </x:c>
      <x:c r="F72" s="14" t="n">
        <x:v>2</x:v>
      </x:c>
      <x:c r="G72" s="14" t="n">
        <x:v>1</x:v>
      </x:c>
      <x:c r="H72" s="14" t="n">
        <x:v>2</x:v>
      </x:c>
      <x:c r="I72" s="14" t="n">
        <x:f>SUM(C72:H72)</x:f>
        <x:v>8</x:v>
      </x:c>
      <x:c r="J72" s="14" t="n">
        <x:f>C72+D72+F72</x:f>
        <x:v>5</x:v>
      </x:c>
      <x:c r="K72" s="14" t="n">
        <x:f>E72+G72+H72</x:f>
        <x:v>3</x:v>
      </x:c>
      <x:c r="L72" s="14" t="str">
        <x:v>medium</x:v>
      </x:c>
      <x:c r="M72" s="19" t="b">
        <x:v>0</x:v>
      </x:c>
      <x:c r="N72" s="19" t="b">
        <x:v>0</x:v>
      </x:c>
      <x:c r="O72" s="19" t="b">
        <x:v>0</x:v>
      </x:c>
      <x:c r="P72" s="19" t="b">
        <x:v>0</x:v>
      </x:c>
      <x:c r="Q72" s="19" t="b">
        <x:v>0</x:v>
      </x:c>
      <x:c r="R72" s="14" t="str">
        <x:v>C observed E's stance as respecting C's career, autonomy and established history, then directly named feeling safe and held. Added anxiety, logistics or guarded accommodation are plausible but not the observed immediate response.</x:v>
      </x:c>
    </x:row>
    <x:row r="73" ht="46" customHeight="1">
      <x:c r="A73" s="14" t="str">
        <x:v>B072-c154c1</x:v>
      </x:c>
      <x:c r="B73" s="14" t="str">
        <x:v>t01-pc-h01</x:v>
      </x:c>
      <x:c r="C73" s="14" t="n">
        <x:v>0</x:v>
      </x:c>
      <x:c r="D73" s="14" t="n">
        <x:v>0</x:v>
      </x:c>
      <x:c r="E73" s="14" t="n">
        <x:v>0</x:v>
      </x:c>
      <x:c r="F73" s="14" t="n">
        <x:v>0</x:v>
      </x:c>
      <x:c r="G73" s="14" t="n">
        <x:v>1</x:v>
      </x:c>
      <x:c r="H73" s="14" t="n">
        <x:v>1</x:v>
      </x:c>
      <x:c r="I73" s="14" t="n">
        <x:f>SUM(C73:H73)</x:f>
        <x:v>2</x:v>
      </x:c>
      <x:c r="J73" s="14" t="n">
        <x:f>C73+D73+F73</x:f>
        <x:v>0</x:v>
      </x:c>
      <x:c r="K73" s="14" t="n">
        <x:f>E73+G73+H73</x:f>
        <x:v>2</x:v>
      </x:c>
      <x:c r="L73" s="14" t="str">
        <x:v>high</x:v>
      </x:c>
      <x:c r="M73" s="19" t="b">
        <x:v>0</x:v>
      </x:c>
      <x:c r="N73" s="19" t="b">
        <x:v>0</x:v>
      </x:c>
      <x:c r="O73" s="19" t="b">
        <x:v>0</x:v>
      </x:c>
      <x:c r="P73" s="19" t="b">
        <x:v>0</x:v>
      </x:c>
      <x:c r="Q73" s="19" t="b">
        <x:v>0</x:v>
      </x:c>
      <x:c r="R73" s="14" t="str">
        <x:v>The observed response first displaced E's disclosure into C's own other-partner conflict, then became humorous and reflective after clinician redirection. Generic empathy or validation is not the observed strategy.</x:v>
      </x:c>
    </x:row>
    <x:row r="74" ht="46" customHeight="1">
      <x:c r="A74" s="14" t="str">
        <x:v>B073-4b3fb4</x:v>
      </x:c>
      <x:c r="B74" s="14" t="str">
        <x:v>t01-pc-h03</x:v>
      </x:c>
      <x:c r="C74" s="14" t="n">
        <x:v>2</x:v>
      </x:c>
      <x:c r="D74" s="14" t="n">
        <x:v>1</x:v>
      </x:c>
      <x:c r="E74" s="14" t="n">
        <x:v>1</x:v>
      </x:c>
      <x:c r="F74" s="14" t="n">
        <x:v>2</x:v>
      </x:c>
      <x:c r="G74" s="14" t="n">
        <x:v>2</x:v>
      </x:c>
      <x:c r="H74" s="14" t="n">
        <x:v>2</x:v>
      </x:c>
      <x:c r="I74" s="14" t="n">
        <x:f>SUM(C74:H74)</x:f>
        <x:v>10</x:v>
      </x:c>
      <x:c r="J74" s="14" t="n">
        <x:f>C74+D74+F74</x:f>
        <x:v>5</x:v>
      </x:c>
      <x:c r="K74" s="14" t="n">
        <x:f>E74+G74+H74</x:f>
        <x:v>5</x:v>
      </x:c>
      <x:c r="L74" s="14" t="str">
        <x:v>medium</x:v>
      </x:c>
      <x:c r="M74" s="19" t="b">
        <x:v>0</x:v>
      </x:c>
      <x:c r="N74" s="19" t="b">
        <x:v>0</x:v>
      </x:c>
      <x:c r="O74" s="19" t="b">
        <x:v>0</x:v>
      </x:c>
      <x:c r="P74" s="19" t="b">
        <x:v>0</x:v>
      </x:c>
      <x:c r="Q74" s="19" t="b">
        <x:v>0</x:v>
      </x:c>
      <x:c r="R74" s="14" t="str">
        <x:v>C observed E's stance as respecting C's career, autonomy and established history, then directly named feeling safe and held. Added anxiety, logistics or guarded accommodation are plausible but not the observed immediate response.</x:v>
      </x:c>
    </x:row>
    <x:row r="75" ht="46" customHeight="1">
      <x:c r="A75" s="14" t="str">
        <x:v>B074-0b3826</x:v>
      </x:c>
      <x:c r="B75" s="14" t="str">
        <x:v>t01-pc-h01</x:v>
      </x:c>
      <x:c r="C75" s="14" t="n">
        <x:v>0</x:v>
      </x:c>
      <x:c r="D75" s="14" t="n">
        <x:v>0</x:v>
      </x:c>
      <x:c r="E75" s="14" t="n">
        <x:v>0</x:v>
      </x:c>
      <x:c r="F75" s="14" t="n">
        <x:v>0</x:v>
      </x:c>
      <x:c r="G75" s="14" t="n">
        <x:v>1</x:v>
      </x:c>
      <x:c r="H75" s="14" t="n">
        <x:v>1</x:v>
      </x:c>
      <x:c r="I75" s="14" t="n">
        <x:f>SUM(C75:H75)</x:f>
        <x:v>2</x:v>
      </x:c>
      <x:c r="J75" s="14" t="n">
        <x:f>C75+D75+F75</x:f>
        <x:v>0</x:v>
      </x:c>
      <x:c r="K75" s="14" t="n">
        <x:f>E75+G75+H75</x:f>
        <x:v>2</x:v>
      </x:c>
      <x:c r="L75" s="14" t="str">
        <x:v>high</x:v>
      </x:c>
      <x:c r="M75" s="19" t="b">
        <x:v>0</x:v>
      </x:c>
      <x:c r="N75" s="19" t="b">
        <x:v>0</x:v>
      </x:c>
      <x:c r="O75" s="19" t="b">
        <x:v>0</x:v>
      </x:c>
      <x:c r="P75" s="19" t="b">
        <x:v>0</x:v>
      </x:c>
      <x:c r="Q75" s="19" t="b">
        <x:v>0</x:v>
      </x:c>
      <x:c r="R75" s="14" t="str">
        <x:v>The observed response first displaced E's disclosure into C's own other-partner conflict, then became humorous and reflective after clinician redirection. Generic empathy or validation is not the observed strategy.</x:v>
      </x:c>
    </x:row>
    <x:row r="76" ht="46" customHeight="1">
      <x:c r="A76" s="14" t="str">
        <x:v>B075-e9bc00</x:v>
      </x:c>
      <x:c r="B76" s="14" t="str">
        <x:v>t01-pc-h03</x:v>
      </x:c>
      <x:c r="C76" s="14" t="n">
        <x:v>2</x:v>
      </x:c>
      <x:c r="D76" s="14" t="n">
        <x:v>1</x:v>
      </x:c>
      <x:c r="E76" s="14" t="n">
        <x:v>1</x:v>
      </x:c>
      <x:c r="F76" s="14" t="n">
        <x:v>2</x:v>
      </x:c>
      <x:c r="G76" s="14" t="n">
        <x:v>1</x:v>
      </x:c>
      <x:c r="H76" s="14" t="n">
        <x:v>2</x:v>
      </x:c>
      <x:c r="I76" s="14" t="n">
        <x:f>SUM(C76:H76)</x:f>
        <x:v>9</x:v>
      </x:c>
      <x:c r="J76" s="14" t="n">
        <x:f>C76+D76+F76</x:f>
        <x:v>5</x:v>
      </x:c>
      <x:c r="K76" s="14" t="n">
        <x:f>E76+G76+H76</x:f>
        <x:v>4</x:v>
      </x:c>
      <x:c r="L76" s="14" t="str">
        <x:v>medium</x:v>
      </x:c>
      <x:c r="M76" s="19" t="b">
        <x:v>0</x:v>
      </x:c>
      <x:c r="N76" s="19" t="b">
        <x:v>0</x:v>
      </x:c>
      <x:c r="O76" s="19" t="b">
        <x:v>0</x:v>
      </x:c>
      <x:c r="P76" s="19" t="b">
        <x:v>0</x:v>
      </x:c>
      <x:c r="Q76" s="19" t="b">
        <x:v>0</x:v>
      </x:c>
      <x:c r="R76" s="14" t="str">
        <x:v>C observed E's stance as respecting C's career, autonomy and established history, then directly named feeling safe and held. Added anxiety, logistics or guarded accommodation are plausible but not the observed immediate response.</x:v>
      </x:c>
    </x:row>
    <x:row r="77" ht="46" customHeight="1">
      <x:c r="A77" s="14" t="str">
        <x:v>B076-32089d</x:v>
      </x:c>
      <x:c r="B77" s="14" t="str">
        <x:v>t01-pc-h02</x:v>
      </x:c>
      <x:c r="C77" s="14" t="n">
        <x:v>1</x:v>
      </x:c>
      <x:c r="D77" s="14" t="n">
        <x:v>1</x:v>
      </x:c>
      <x:c r="E77" s="14" t="n">
        <x:v>0</x:v>
      </x:c>
      <x:c r="F77" s="14" t="n">
        <x:v>1</x:v>
      </x:c>
      <x:c r="G77" s="14" t="n">
        <x:v>0</x:v>
      </x:c>
      <x:c r="H77" s="14" t="n">
        <x:v>1</x:v>
      </x:c>
      <x:c r="I77" s="14" t="n">
        <x:f>SUM(C77:H77)</x:f>
        <x:v>4</x:v>
      </x:c>
      <x:c r="J77" s="14" t="n">
        <x:f>C77+D77+F77</x:f>
        <x:v>3</x:v>
      </x:c>
      <x:c r="K77" s="14" t="n">
        <x:f>E77+G77+H77</x:f>
        <x:v>1</x:v>
      </x:c>
      <x:c r="L77" s="14" t="str">
        <x:v>high</x:v>
      </x:c>
      <x:c r="M77" s="19" t="b">
        <x:v>0</x:v>
      </x:c>
      <x:c r="N77" s="19" t="b">
        <x:v>0</x:v>
      </x:c>
      <x:c r="O77" s="19" t="b">
        <x:v>0</x:v>
      </x:c>
      <x:c r="P77" s="19" t="b">
        <x:v>0</x:v>
      </x:c>
      <x:c r="Q77" s="19" t="b">
        <x:v>0</x:v>
      </x:c>
      <x:c r="R77" s="14" t="str">
        <x:v>The observed response was unusually concrete: C immediately and unequivocally rejected veto power over an existing relationship. Qualified reassurance or predictions of defensiveness receive only partial credit.</x:v>
      </x:c>
    </x:row>
    <x:row r="78" ht="46" customHeight="1">
      <x:c r="A78" s="14" t="str">
        <x:v>B077-e5541f</x:v>
      </x:c>
      <x:c r="B78" s="14" t="str">
        <x:v>t01-pc-h02</x:v>
      </x:c>
      <x:c r="C78" s="14" t="n">
        <x:v>2</x:v>
      </x:c>
      <x:c r="D78" s="14" t="n">
        <x:v>1</x:v>
      </x:c>
      <x:c r="E78" s="14" t="n">
        <x:v>1</x:v>
      </x:c>
      <x:c r="F78" s="14" t="n">
        <x:v>2</x:v>
      </x:c>
      <x:c r="G78" s="14" t="n">
        <x:v>2</x:v>
      </x:c>
      <x:c r="H78" s="14" t="n">
        <x:v>1</x:v>
      </x:c>
      <x:c r="I78" s="14" t="n">
        <x:f>SUM(C78:H78)</x:f>
        <x:v>9</x:v>
      </x:c>
      <x:c r="J78" s="14" t="n">
        <x:f>C78+D78+F78</x:f>
        <x:v>5</x:v>
      </x:c>
      <x:c r="K78" s="14" t="n">
        <x:f>E78+G78+H78</x:f>
        <x:v>4</x:v>
      </x:c>
      <x:c r="L78" s="14" t="str">
        <x:v>high</x:v>
      </x:c>
      <x:c r="M78" s="19" t="b">
        <x:v>0</x:v>
      </x:c>
      <x:c r="N78" s="19" t="b">
        <x:v>0</x:v>
      </x:c>
      <x:c r="O78" s="19" t="b">
        <x:v>0</x:v>
      </x:c>
      <x:c r="P78" s="19" t="b">
        <x:v>0</x:v>
      </x:c>
      <x:c r="Q78" s="19" t="b">
        <x:v>0</x:v>
      </x:c>
      <x:c r="R78" s="14" t="str">
        <x:v>The observed response was unusually concrete: C immediately and unequivocally rejected veto power over an existing relationship. Qualified reassurance or predictions of defensiveness receive only partial credit.</x:v>
      </x:c>
    </x:row>
    <x:row r="79" ht="46" customHeight="1">
      <x:c r="A79" s="14" t="str">
        <x:v>B078-10b65a</x:v>
      </x:c>
      <x:c r="B79" s="14" t="str">
        <x:v>t01-pc-h02</x:v>
      </x:c>
      <x:c r="C79" s="14" t="n">
        <x:v>2</x:v>
      </x:c>
      <x:c r="D79" s="14" t="n">
        <x:v>1</x:v>
      </x:c>
      <x:c r="E79" s="14" t="n">
        <x:v>1</x:v>
      </x:c>
      <x:c r="F79" s="14" t="n">
        <x:v>2</x:v>
      </x:c>
      <x:c r="G79" s="14" t="n">
        <x:v>0</x:v>
      </x:c>
      <x:c r="H79" s="14" t="n">
        <x:v>1</x:v>
      </x:c>
      <x:c r="I79" s="14" t="n">
        <x:f>SUM(C79:H79)</x:f>
        <x:v>7</x:v>
      </x:c>
      <x:c r="J79" s="14" t="n">
        <x:f>C79+D79+F79</x:f>
        <x:v>5</x:v>
      </x:c>
      <x:c r="K79" s="14" t="n">
        <x:f>E79+G79+H79</x:f>
        <x:v>2</x:v>
      </x:c>
      <x:c r="L79" s="14" t="str">
        <x:v>high</x:v>
      </x:c>
      <x:c r="M79" s="19" t="b">
        <x:v>0</x:v>
      </x:c>
      <x:c r="N79" s="19" t="b">
        <x:v>0</x:v>
      </x:c>
      <x:c r="O79" s="19" t="b">
        <x:v>0</x:v>
      </x:c>
      <x:c r="P79" s="19" t="b">
        <x:v>0</x:v>
      </x:c>
      <x:c r="Q79" s="19" t="b">
        <x:v>0</x:v>
      </x:c>
      <x:c r="R79" s="14" t="str">
        <x:v>The observed response was unusually concrete: C immediately and unequivocally rejected veto power over an existing relationship. Qualified reassurance or predictions of defensiveness receive only partial credit.</x:v>
      </x:c>
    </x:row>
    <x:row r="80" ht="46" customHeight="1">
      <x:c r="A80" s="14" t="str">
        <x:v>B079-081cdf</x:v>
      </x:c>
      <x:c r="B80" s="14" t="str">
        <x:v>t01-pc-h04</x:v>
      </x:c>
      <x:c r="C80" s="14" t="n">
        <x:v>2</x:v>
      </x:c>
      <x:c r="D80" s="14" t="n">
        <x:v>1</x:v>
      </x:c>
      <x:c r="E80" s="14" t="n">
        <x:v>2</x:v>
      </x:c>
      <x:c r="F80" s="14" t="n">
        <x:v>2</x:v>
      </x:c>
      <x:c r="G80" s="14" t="n">
        <x:v>0</x:v>
      </x:c>
      <x:c r="H80" s="14" t="n">
        <x:v>0</x:v>
      </x:c>
      <x:c r="I80" s="14" t="n">
        <x:f>SUM(C80:H80)</x:f>
        <x:v>7</x:v>
      </x:c>
      <x:c r="J80" s="14" t="n">
        <x:f>C80+D80+F80</x:f>
        <x:v>5</x:v>
      </x:c>
      <x:c r="K80" s="14" t="n">
        <x:f>E80+G80+H80</x:f>
        <x:v>2</x:v>
      </x:c>
      <x:c r="L80" s="14" t="str">
        <x:v>high</x:v>
      </x:c>
      <x:c r="M80" s="19" t="b">
        <x:v>0</x:v>
      </x:c>
      <x:c r="N80" s="19" t="b">
        <x:v>0</x:v>
      </x:c>
      <x:c r="O80" s="19" t="b">
        <x:v>0</x:v>
      </x:c>
      <x:c r="P80" s="19" t="b">
        <x:v>0</x:v>
      </x:c>
      <x:c r="Q80" s="19" t="b">
        <x:v>0</x:v>
      </x:c>
      <x:c r="R80" s="14" t="str">
        <x:v>The observed response candidly held non-hierarchical values alongside a need for specialness and explicitly named the conflict. Predictions of defensiveness or system escalation overstate the observed tension.</x:v>
      </x:c>
    </x:row>
    <x:row r="81" ht="46" customHeight="1">
      <x:c r="A81" s="14" t="str">
        <x:v>B080-4dd647</x:v>
      </x:c>
      <x:c r="B81" s="14" t="str">
        <x:v>t01-pc-h03</x:v>
      </x:c>
      <x:c r="C81" s="14" t="n">
        <x:v>2</x:v>
      </x:c>
      <x:c r="D81" s="14" t="n">
        <x:v>1</x:v>
      </x:c>
      <x:c r="E81" s="14" t="n">
        <x:v>1</x:v>
      </x:c>
      <x:c r="F81" s="14" t="n">
        <x:v>2</x:v>
      </x:c>
      <x:c r="G81" s="14" t="n">
        <x:v>1</x:v>
      </x:c>
      <x:c r="H81" s="14" t="n">
        <x:v>2</x:v>
      </x:c>
      <x:c r="I81" s="14" t="n">
        <x:f>SUM(C81:H81)</x:f>
        <x:v>9</x:v>
      </x:c>
      <x:c r="J81" s="14" t="n">
        <x:f>C81+D81+F81</x:f>
        <x:v>5</x:v>
      </x:c>
      <x:c r="K81" s="14" t="n">
        <x:f>E81+G81+H81</x:f>
        <x:v>4</x:v>
      </x:c>
      <x:c r="L81" s="14" t="str">
        <x:v>medium</x:v>
      </x:c>
      <x:c r="M81" s="19" t="b">
        <x:v>0</x:v>
      </x:c>
      <x:c r="N81" s="19" t="b">
        <x:v>0</x:v>
      </x:c>
      <x:c r="O81" s="19" t="b">
        <x:v>0</x:v>
      </x:c>
      <x:c r="P81" s="19" t="b">
        <x:v>0</x:v>
      </x:c>
      <x:c r="Q81" s="19" t="b">
        <x:v>0</x:v>
      </x:c>
      <x:c r="R81" s="14" t="str">
        <x:v>C observed E's stance as respecting C's career, autonomy and established history, then directly named feeling safe and held. Added anxiety, logistics or guarded accommodation are plausible but not the observed immediate response.</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38" hidden="0" customWidth="1"/>
  </x:cols>
  <x:sheetData>
    <x:row r="1">
      <x:c r="A1" s="21" t="str">
        <x:v>Situation ID</x:v>
      </x:c>
      <x:c r="B1" s="21" t="str">
        <x:v>Observed response summary</x:v>
      </x:c>
      <x:c r="C1" s="21" t="str">
        <x:v>Observed interpretation</x:v>
      </x:c>
      <x:c r="D1" s="21" t="str">
        <x:v>Observed affect</x:v>
      </x:c>
      <x:c r="E1" s="21" t="str">
        <x:v>Observed strategy</x:v>
      </x:c>
      <x:c r="F1" s="21" t="str">
        <x:v>Observed objective</x:v>
      </x:c>
      <x:c r="G1" s="21" t="str">
        <x:v>Escalation</x:v>
      </x:c>
      <x:c r="H1" s="21" t="str">
        <x:v>Immediate partner effect</x:v>
      </x:c>
      <x:c r="I1" s="21" t="str">
        <x:v>Evidence notes</x:v>
      </x:c>
    </x:row>
    <x:row r="2" ht="88" customHeight="1">
      <x:c r="A2" s="22" t="str">
        <x:v>t01-pc-h01</x:v>
      </x:c>
      <x:c r="B2" s="22" t="str">
        <x:v>Participant C initially shifts attention toward an unresolved conflict involving Participant C's own other partner rather than staying with Participant E's disclosure. After the clinician redirects the question, Participant C recognises the attentional drift with humour and acknowledges a tendency to recede or lose track of the original person's experience.</x:v>
      </x:c>
      <x:c r="C2" s="22" t="str">
        <x:v>Participant C receives the prompt through the crowded relational system and first associates it with Participant C's own unresolved partner conflict rather than centring Participant E's loss of agency.</x:v>
      </x:c>
      <x:c r="D2" s="22" t="str">
        <x:v>Distracted and problem-focused at first, then amused, mildly embarrassed and reflective when redirected.</x:v>
      </x:c>
      <x:c r="E2" s="22" t="str">
        <x:v>Participant C redirects toward another relationship problem, then accepts the clinician's correction and notices the process occurring in real time.</x:v>
      </x:c>
      <x:c r="F2" s="22" t="str">
        <x:v>Initially organise or solve Participant C's own relational complexity; after redirection, recover attention to Participant E and understand the pattern of receding.</x:v>
      </x:c>
      <x:c r="G2" s="22" t="str">
        <x:v>de-escalating</x:v>
      </x:c>
      <x:c r="H2" s="22" t="str">
        <x:v>Participant E's disclosure is momentarily displaced until the clinician restores focus; Participant C's recognition opens reflective space rather than conflict.</x:v>
      </x:c>
      <x:c r="I2" s="22" t="str">
        <x:v>Participant C initially answers by discussing Participant C's own other partner and Participant D. • The clinician explicitly redirects to Participant E's statement. • Participant C laughs and recognises the attentional shift.</x:v>
      </x:c>
    </x:row>
    <x:row r="3" ht="88" customHeight="1">
      <x:c r="A3" s="22" t="str">
        <x:v>t01-pc-h02</x:v>
      </x:c>
      <x:c r="B3" s="22" t="str">
        <x:v>Participant C immediately assures Participant E that Participant C would never veto the relationship. Participant C distinguishes past arrangements that included veto power from the current system and says an existing relationship would not be subject to such removal.</x:v>
      </x:c>
      <x:c r="C3" s="22" t="str">
        <x:v>Participant C understands Participant E's fear as a request for concrete security about whether the established partnership retains unilateral termination power.</x:v>
      </x:c>
      <x:c r="D3" s="22" t="str">
        <x:v>Reassuring, direct and committed.</x:v>
      </x:c>
      <x:c r="E3" s="22" t="str">
        <x:v>Participant C gives an unequivocal verbal assurance, clarifies the absence of vetoes and extends that assurance into the imagined future.</x:v>
      </x:c>
      <x:c r="F3" s="22" t="str">
        <x:v>Reduce Participant E's fear of disposability and establish continuity independent of the established pair's momentary preferences.</x:v>
      </x:c>
      <x:c r="G3" s="22" t="str">
        <x:v>de-escalating</x:v>
      </x:c>
      <x:c r="H3" s="22" t="str">
        <x:v>Participant E says the assurance is appreciated and the conversation moves toward more realistic future uncertainties.</x:v>
      </x:c>
      <x:c r="I3" s="22" t="str">
        <x:v>Participant C immediately says Participant C will never veto Participant E. • Participant C explains that the current relationships do not contain vetoes. • Participant C cannot imagine an existing relationship being ended through such a mechanism.</x:v>
      </x:c>
    </x:row>
    <x:row r="4" ht="88" customHeight="1">
      <x:c r="A4" s="22" t="str">
        <x:v>t01-pc-h03</x:v>
      </x:c>
      <x:c r="B4" s="22" t="str">
        <x:v>Participant C says Participant E's recognition of the established pair's possible move makes Participant C feel safe and held. Participant E then acknowledges how destabilising the relational development may already have been for Participant C.</x:v>
      </x:c>
      <x:c r="C4" s="22" t="str">
        <x:v>Participant C interprets Participant E's position as evidence that Participant E respects Participant C's career, autonomy and established history rather than seeking control over them.</x:v>
      </x:c>
      <x:c r="D4" s="22" t="str">
        <x:v>Relieved, appreciative and emotionally reassured.</x:v>
      </x:c>
      <x:c r="E4" s="22" t="str">
        <x:v>Participant C directly names the feeling of safety and being held rather than debating the hypothetical logistics.</x:v>
      </x:c>
      <x:c r="F4" s="22" t="str">
        <x:v>Confirm mutual consideration and receive evidence that Participant E can honour Participant C's needs within the shared system.</x:v>
      </x:c>
      <x:c r="G4" s="22" t="str">
        <x:v>de-escalating</x:v>
      </x:c>
      <x:c r="H4" s="22" t="str">
        <x:v>Participant E responds empathically and explicitly recognises Participant C's potentially destabilising experience.</x:v>
      </x:c>
      <x:c r="I4" s="22" t="str">
        <x:v>Participant C says the response creates safety and a feeling of being held. • Participant E then validates Participant C's position in the changing system.</x:v>
      </x:c>
    </x:row>
    <x:row r="5" ht="88" customHeight="1">
      <x:c r="A5" s="22" t="str">
        <x:v>t01-pc-h04</x:v>
      </x:c>
      <x:c r="B5" s="22" t="str">
        <x:v>Participant C acknowledges that claiming a non-hierarchical arrangement does not remove Participant C's need to feel special and explicitly recognises the two commitments as conflicting.</x:v>
      </x:c>
      <x:c r="C5" s="22" t="str">
        <x:v>Participant C understands the clinician's observation as naming a genuine discrepancy between endorsed relationship principles and personal attachment needs.</x:v>
      </x:c>
      <x:c r="D5" s="22" t="str">
        <x:v>Thoughtful, candid and accepting of contradiction.</x:v>
      </x:c>
      <x:c r="E5" s="22" t="str">
        <x:v>Participant C articulates both the ideological commitment and the competing emotional need without forcing an immediate resolution.</x:v>
      </x:c>
      <x:c r="F5" s="22" t="str">
        <x:v>Make the hidden conflict discussable while preserving both non-hierarchical values and Participant C's need for significance.</x:v>
      </x:c>
      <x:c r="G5" s="22" t="str">
        <x:v>de-escalating</x:v>
      </x:c>
      <x:c r="H5" s="22" t="str">
        <x:v>The system gains a clearer and less idealised description of Participant C's position, allowing ongoing tensions to be discussed rather than denied.</x:v>
      </x:c>
      <x:c r="I5" s="22" t="str">
        <x:v>Participant C explicitly names non-hierarchical ideology. • Participant C also states a need to feel special. • Participant C recognises the two as a conflict.</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27" hidden="0" customWidth="1"/>
  </x:cols>
  <x:sheetData>
    <x:row r="1">
      <x:c r="A1" s="18" t="str">
        <x:v>Situation ID</x:v>
      </x:c>
      <x:c r="B1" s="18" t="str">
        <x:v>N</x:v>
      </x:c>
      <x:c r="C1" s="18" t="str">
        <x:v>Mean total</x:v>
      </x:c>
      <x:c r="D1" s="18" t="str">
        <x:v>Min</x:v>
      </x:c>
      <x:c r="E1" s="18" t="str">
        <x:v>Max</x:v>
      </x:c>
      <x:c r="F1" s="18" t="str">
        <x:v>Mean mechanistic</x:v>
      </x:c>
      <x:c r="G1" s="18" t="str">
        <x:v>Mean observable</x:v>
      </x:c>
      <x:c r="H1" s="18" t="str">
        <x:v>Blind-only note</x:v>
      </x:c>
    </x:row>
    <x:row r="2">
      <x:c r="A2" s="14" t="str">
        <x:v>t01-pc-h01</x:v>
      </x:c>
      <x:c r="B2" s="14" t="n">
        <x:v>20</x:v>
      </x:c>
      <x:c r="C2" s="23" t="n">
        <x:f>AVERAGEIF('Scores'!$B$2:$B$81,A2,'Scores'!$I$2:$I$81)</x:f>
        <x:v>1.85</x:v>
      </x:c>
      <x:c r="D2" s="23" t="n">
        <x:f>MINIFS('Scores'!$I$2:$I$81,'Scores'!$B$2:$B$81,A2)</x:f>
        <x:v>1</x:v>
      </x:c>
      <x:c r="E2" s="23" t="n">
        <x:f>MAXIFS('Scores'!$I$2:$I$81,'Scores'!$B$2:$B$81,A2)</x:f>
        <x:v>7</x:v>
      </x:c>
      <x:c r="F2" s="23" t="n">
        <x:f>AVERAGEIF('Scores'!$B$2:$B$81,A2,'Scores'!$J$2:$J$81)</x:f>
        <x:v>0.15</x:v>
      </x:c>
      <x:c r="G2" s="23" t="n">
        <x:f>AVERAGEIF('Scores'!$B$2:$B$81,A2,'Scores'!$K$2:$K$81)</x:f>
        <x:v>1.7</x:v>
      </x:c>
      <x:c r="H2" s="14" t="str">
        <x:v>No condition identities used</x:v>
      </x:c>
    </x:row>
    <x:row r="3">
      <x:c r="A3" s="14" t="str">
        <x:v>t01-pc-h02</x:v>
      </x:c>
      <x:c r="B3" s="14" t="n">
        <x:v>20</x:v>
      </x:c>
      <x:c r="C3" s="23" t="n">
        <x:f>AVERAGEIF('Scores'!$B$2:$B$81,A3,'Scores'!$I$2:$I$81)</x:f>
        <x:v>6.1</x:v>
      </x:c>
      <x:c r="D3" s="23" t="n">
        <x:f>MINIFS('Scores'!$I$2:$I$81,'Scores'!$B$2:$B$81,A3)</x:f>
        <x:v>3</x:v>
      </x:c>
      <x:c r="E3" s="23" t="n">
        <x:f>MAXIFS('Scores'!$I$2:$I$81,'Scores'!$B$2:$B$81,A3)</x:f>
        <x:v>10</x:v>
      </x:c>
      <x:c r="F3" s="23" t="n">
        <x:f>AVERAGEIF('Scores'!$B$2:$B$81,A3,'Scores'!$J$2:$J$81)</x:f>
        <x:v>3.5</x:v>
      </x:c>
      <x:c r="G3" s="23" t="n">
        <x:f>AVERAGEIF('Scores'!$B$2:$B$81,A3,'Scores'!$K$2:$K$81)</x:f>
        <x:v>2.6</x:v>
      </x:c>
      <x:c r="H3" s="14" t="str">
        <x:v>No condition identities used</x:v>
      </x:c>
    </x:row>
    <x:row r="4">
      <x:c r="A4" s="14" t="str">
        <x:v>t01-pc-h03</x:v>
      </x:c>
      <x:c r="B4" s="14" t="n">
        <x:v>20</x:v>
      </x:c>
      <x:c r="C4" s="23" t="n">
        <x:f>AVERAGEIF('Scores'!$B$2:$B$81,A4,'Scores'!$I$2:$I$81)</x:f>
        <x:v>7.8</x:v>
      </x:c>
      <x:c r="D4" s="23" t="n">
        <x:f>MINIFS('Scores'!$I$2:$I$81,'Scores'!$B$2:$B$81,A4)</x:f>
        <x:v>5</x:v>
      </x:c>
      <x:c r="E4" s="23" t="n">
        <x:f>MAXIFS('Scores'!$I$2:$I$81,'Scores'!$B$2:$B$81,A4)</x:f>
        <x:v>10</x:v>
      </x:c>
      <x:c r="F4" s="23" t="n">
        <x:f>AVERAGEIF('Scores'!$B$2:$B$81,A4,'Scores'!$J$2:$J$81)</x:f>
        <x:v>4.75</x:v>
      </x:c>
      <x:c r="G4" s="23" t="n">
        <x:f>AVERAGEIF('Scores'!$B$2:$B$81,A4,'Scores'!$K$2:$K$81)</x:f>
        <x:v>3.05</x:v>
      </x:c>
      <x:c r="H4" s="14" t="str">
        <x:v>No condition identities used</x:v>
      </x:c>
    </x:row>
    <x:row r="5">
      <x:c r="A5" s="14" t="str">
        <x:v>t01-pc-h04</x:v>
      </x:c>
      <x:c r="B5" s="14" t="n">
        <x:v>20</x:v>
      </x:c>
      <x:c r="C5" s="23" t="n">
        <x:f>AVERAGEIF('Scores'!$B$2:$B$81,A5,'Scores'!$I$2:$I$81)</x:f>
        <x:v>7.7</x:v>
      </x:c>
      <x:c r="D5" s="23" t="n">
        <x:f>MINIFS('Scores'!$I$2:$I$81,'Scores'!$B$2:$B$81,A5)</x:f>
        <x:v>5</x:v>
      </x:c>
      <x:c r="E5" s="23" t="n">
        <x:f>MAXIFS('Scores'!$I$2:$I$81,'Scores'!$B$2:$B$81,A5)</x:f>
        <x:v>11</x:v>
      </x:c>
      <x:c r="F5" s="23" t="n">
        <x:f>AVERAGEIF('Scores'!$B$2:$B$81,A5,'Scores'!$J$2:$J$81)</x:f>
        <x:v>5.05</x:v>
      </x:c>
      <x:c r="G5" s="23" t="n">
        <x:f>AVERAGEIF('Scores'!$B$2:$B$81,A5,'Scores'!$K$2:$K$81)</x:f>
        <x:v>2.65</x:v>
      </x:c>
      <x:c r="H5" s="14" t="str">
        <x:v>No condition identities used</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25" hidden="0" customWidth="1"/>
    <x:col min="3" max="3" width="62" hidden="0" customWidth="1"/>
  </x:cols>
  <x:sheetData>
    <x:row r="1">
      <x:c r="A1" s="18" t="str">
        <x:v>Score</x:v>
      </x:c>
      <x:c r="B1" s="18" t="str">
        <x:v>Meaning</x:v>
      </x:c>
      <x:c r="C1" s="18" t="str">
        <x:v>Use</x:v>
      </x:c>
    </x:row>
    <x:row r="2">
      <x:c r="A2" s="24" t="n">
        <x:v>0</x:v>
      </x:c>
      <x:c r="B2" s="24" t="str">
        <x:v>Mismatch</x:v>
      </x:c>
      <x:c r="C2" s="24" t="str">
        <x:v>Unsupported, contradicted, or substantially wrong direction</x:v>
      </x:c>
    </x:row>
    <x:row r="3">
      <x:c r="A3" s="24" t="n">
        <x:v>1</x:v>
      </x:c>
      <x:c r="B3" s="24" t="str">
        <x:v>Partial</x:v>
      </x:c>
      <x:c r="C3" s="24" t="str">
        <x:v>Compatible but incomplete, overgeneralised, or wrong in intensity</x:v>
      </x:c>
    </x:row>
    <x:row r="4">
      <x:c r="A4" s="24" t="n">
        <x:v>2</x:v>
      </x:c>
      <x:c r="B4" s="24" t="str">
        <x:v>Strong match</x:v>
      </x:c>
      <x:c r="C4" s="24" t="str">
        <x:v>Specific evidence-linked correspondence to observed response</x:v>
      </x:c>
    </x:row>
    <x:row r="5">
      <x:c r="A5" s="14"/>
      <x:c r="B5" s="14"/>
      <x:c r="C5" s="14"/>
    </x:row>
    <x:row r="6">
      <x:c r="A6" s="14" t="str">
        <x:v>Dimension</x:v>
      </x:c>
      <x:c r="B6" s="14" t="str">
        <x:v>Question</x:v>
      </x:c>
      <x:c r="C6" s="14"/>
    </x:row>
    <x:row r="7">
      <x:c r="A7" s="14" t="str">
        <x:v>Interpretation</x:v>
      </x:c>
      <x:c r="B7" s="14" t="str">
        <x:v>Does the prediction capture what the situation meant to C?</x:v>
      </x:c>
      <x:c r="C7" s="14"/>
    </x:row>
    <x:row r="8">
      <x:c r="A8" s="14" t="str">
        <x:v>Affective stance</x:v>
      </x:c>
      <x:c r="B8" s="14" t="str">
        <x:v>Does it match C's observed emotional orientation?</x:v>
      </x:c>
      <x:c r="C8" s="14"/>
    </x:row>
    <x:row r="9">
      <x:c r="A9" s="14" t="str">
        <x:v>Behavioral strategy</x:v>
      </x:c>
      <x:c r="B9" s="14" t="str">
        <x:v>Does it match what C actually did or said?</x:v>
      </x:c>
      <x:c r="C9" s="14"/>
    </x:row>
    <x:row r="10">
      <x:c r="A10" s="14" t="str">
        <x:v>Relational objective</x:v>
      </x:c>
      <x:c r="B10" s="14" t="str">
        <x:v>Does it capture what the response was trying to preserve or change?</x:v>
      </x:c>
      <x:c r="C10" s="14"/>
    </x:row>
    <x:row r="11">
      <x:c r="A11" s="14" t="str">
        <x:v>Escalation</x:v>
      </x:c>
      <x:c r="B11" s="14" t="str">
        <x:v>Does it match the direction and intensity of the interaction?</x:v>
      </x:c>
      <x:c r="C11" s="14"/>
    </x:row>
    <x:row r="12">
      <x:c r="A12" s="14" t="str">
        <x:v>Partner effect</x:v>
      </x:c>
      <x:c r="B12" s="14" t="str">
        <x:v>Does it match E/the system's immediate observed response?</x:v>
      </x:c>
      <x:c r="C12" s="14"/>
    </x:row>
  </x:sheetData>
  <x:pageMargins left="0.7" right="0.7" top="0.75" bottom="0.75" header="0.3" footer="0.3"/>
</x:worksheet>
</file>