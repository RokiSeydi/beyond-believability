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3e89ac59ec4f2e" /></Relationships>
</file>

<file path=xl/workbook.xml><?xml version="1.0" encoding="utf-8"?>
<x:workbook xmlns:x="http://schemas.openxmlformats.org/spreadsheetml/2006/main">
  <x:sheets>
    <x:sheet xmlns:r="http://schemas.openxmlformats.org/officeDocument/2006/relationships" name="README" sheetId="1" r:id="R8ad2d310029f43ad"/>
    <x:sheet xmlns:r="http://schemas.openxmlformats.org/officeDocument/2006/relationships" name="Reviewer View" sheetId="2" r:id="Rfa8441f8515143d0"/>
    <x:sheet xmlns:r="http://schemas.openxmlformats.org/officeDocument/2006/relationships" name="Scores" sheetId="3" r:id="Ra175e0eb7c3848c0"/>
    <x:sheet xmlns:r="http://schemas.openxmlformats.org/officeDocument/2006/relationships" name="Sealed Reference" sheetId="4" r:id="R3c519df94de04e51"/>
    <x:sheet xmlns:r="http://schemas.openxmlformats.org/officeDocument/2006/relationships" name="Summary" sheetId="5" r:id="R535de91425444ab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4">
    <x:font>
      <x:sz val="11"/>
      <x:name val="Carlito"/>
    </x:font>
    <x:font>
      <x:b/>
      <x:sz val="16"/>
      <x:color rgb="FFFFFFFF"/>
      <x:name val="Carlito"/>
    </x:font>
    <x:font>
      <x:b/>
      <x:sz val="11"/>
      <x:color rgb="FF263238"/>
      <x:name val="Carlito"/>
    </x:font>
    <x:font>
      <x:b/>
      <x:sz val="11"/>
      <x:color rgb="FFFFFFFF"/>
      <x:name val="Carlito"/>
    </x:font>
  </x:fonts>
  <x:fills count="6">
    <x:fill>
      <x:patternFill patternType="none"/>
    </x:fill>
    <x:fill>
      <x:patternFill patternType="gray125"/>
    </x:fill>
    <x:fill>
      <x:patternFill patternType="solid">
        <x:fgColor rgb="FF263238"/>
      </x:patternFill>
    </x:fill>
    <x:fill>
      <x:patternFill patternType="solid">
        <x:fgColor rgb="FFECEFF1"/>
      </x:patternFill>
    </x:fill>
    <x:fill>
      <x:patternFill patternType="solid">
        <x:fgColor rgb="FF455A64"/>
      </x:patternFill>
    </x:fill>
    <x:fill>
      <x:patternFill patternType="solid">
        <x:fgColor rgb="FF455A64"/>
      </x:patternFill>
    </x:fill>
  </x:fills>
  <x:borders count="19">
    <x:border/>
    <x:border>
      <x:right style="thin">
        <x:color rgb="FFCFD8DC"/>
      </x:right>
    </x:border>
    <x:border>
      <x:left style="thin">
        <x:color rgb="FFCFD8DC"/>
      </x:left>
      <x:right style="thin">
        <x:color rgb="FFCFD8DC"/>
      </x:right>
    </x:border>
    <x:border>
      <x:left style="thin">
        <x:color rgb="FFCFD8DC"/>
      </x:left>
    </x:border>
    <x:border>
      <x:right style="thin">
        <x:color rgb="FFECEFF1"/>
      </x:right>
      <x:bottom style="thin">
        <x:color rgb="FFECEFF1"/>
      </x:bottom>
    </x:border>
    <x:border>
      <x:left style="thin">
        <x:color rgb="FFECEFF1"/>
      </x:left>
      <x:right style="thin">
        <x:color rgb="FFECEFF1"/>
      </x:right>
      <x:bottom style="thin">
        <x:color rgb="FFECEFF1"/>
      </x:bottom>
    </x:border>
    <x:border>
      <x:left style="thin">
        <x:color rgb="FFECEFF1"/>
      </x:left>
      <x:bottom style="thin">
        <x:color rgb="FFECEFF1"/>
      </x:bottom>
    </x:border>
    <x:border>
      <x:right style="thin">
        <x:color rgb="FFECEFF1"/>
      </x:right>
      <x:top style="thin">
        <x:color rgb="FFECEFF1"/>
      </x:top>
      <x:bottom style="thin">
        <x:color rgb="FFECEFF1"/>
      </x:bottom>
    </x:border>
    <x:border>
      <x:left style="thin">
        <x:color rgb="FFECEFF1"/>
      </x:left>
      <x:right style="thin">
        <x:color rgb="FFECEFF1"/>
      </x:right>
      <x:top style="thin">
        <x:color rgb="FFECEFF1"/>
      </x:top>
      <x:bottom style="thin">
        <x:color rgb="FFECEFF1"/>
      </x:bottom>
    </x:border>
    <x:border>
      <x:left style="thin">
        <x:color rgb="FFECEFF1"/>
      </x:left>
      <x:top style="thin">
        <x:color rgb="FFECEFF1"/>
      </x:top>
      <x:bottom style="thin">
        <x:color rgb="FFECEFF1"/>
      </x:bottom>
    </x:border>
    <x:border>
      <x:right style="thin">
        <x:color rgb="FFECEFF1"/>
      </x:right>
      <x:top style="thin">
        <x:color rgb="FFECEFF1"/>
      </x:top>
    </x:border>
    <x:border>
      <x:left style="thin">
        <x:color rgb="FFECEFF1"/>
      </x:left>
      <x:right style="thin">
        <x:color rgb="FFECEFF1"/>
      </x:right>
      <x:top style="thin">
        <x:color rgb="FFECEFF1"/>
      </x:top>
    </x:border>
    <x:border>
      <x:left style="thin">
        <x:color rgb="FFECEFF1"/>
      </x:left>
      <x:top style="thin">
        <x:color rgb="FFECEFF1"/>
      </x:top>
    </x:border>
    <x:border>
      <x:right style="thin">
        <x:color rgb="FFCFD8DC"/>
      </x:right>
      <x:bottom style="thin">
        <x:color rgb="FFCFD8DC"/>
      </x:bottom>
    </x:border>
    <x:border>
      <x:left style="thin">
        <x:color rgb="FFCFD8DC"/>
      </x:left>
      <x:bottom style="thin">
        <x:color rgb="FFCFD8DC"/>
      </x:bottom>
    </x:border>
    <x:border>
      <x:right style="thin">
        <x:color rgb="FFCFD8DC"/>
      </x:right>
      <x:top style="thin">
        <x:color rgb="FFCFD8DC"/>
      </x:top>
      <x:bottom style="thin">
        <x:color rgb="FFCFD8DC"/>
      </x:bottom>
    </x:border>
    <x:border>
      <x:left style="thin">
        <x:color rgb="FFCFD8DC"/>
      </x:left>
      <x:top style="thin">
        <x:color rgb="FFCFD8DC"/>
      </x:top>
      <x:bottom style="thin">
        <x:color rgb="FFCFD8DC"/>
      </x:bottom>
    </x:border>
    <x:border>
      <x:right style="thin">
        <x:color rgb="FFCFD8DC"/>
      </x:right>
      <x:top style="thin">
        <x:color rgb="FFCFD8DC"/>
      </x:top>
    </x:border>
    <x:border>
      <x:left style="thin">
        <x:color rgb="FFCFD8DC"/>
      </x:left>
      <x:top style="thin">
        <x:color rgb="FFCFD8DC"/>
      </x:top>
    </x:border>
  </x:borders>
  <x:cellStyleXfs count="1">
    <x:xf numFmtId="0" fontId="0" fillId="0" borderId="0"/>
  </x:cellStyleXfs>
  <x:cellXfs count="7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2" fontId="0" fillId="0" borderId="16" xfId="0" applyNumberFormat="1" applyFont="1" applyFill="1" applyBorder="1"/>
    <x:xf numFmtId="201" fontId="0" fillId="0" borderId="18" xfId="0" applyNumberFormat="1" applyFont="1" applyFill="1" applyBorder="1"/>
    <x:xf numFmtId="202"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vertical="center" wrapText="1"/>
    </x:xf>
    <x:xf numFmtId="0" fontId="3" fillId="5" borderId="2" xfId="0" applyNumberFormat="1" applyFont="1" applyFill="1" applyBorder="1" applyAlignment="1">
      <x:alignment vertical="center" wrapText="1"/>
    </x:xf>
    <x:xf numFmtId="0" fontId="3" fillId="5" borderId="3" xfId="0" applyNumberFormat="1" applyFont="1" applyFill="1" applyBorder="1" applyAlignment="1">
      <x:alignment vertical="center" wrapText="1"/>
    </x:xf>
  </x:cellXfs>
  <x:cellStyles count="1">
    <x:cellStyle name="Normal" xfId="0"/>
  </x:cellStyles>
  <x:dxfs count="4">
    <x:dxf>
      <x:fill>
        <x:patternFill>
          <x:bgColor rgb="FFFFF3E0"/>
        </x:patternFill>
      </x:fill>
    </x:dxf>
    <x:dxf>
      <x:fill>
        <x:patternFill>
          <x:bgColor rgb="FFFFFDE7"/>
        </x:patternFill>
      </x:fill>
    </x:dxf>
    <x:dxf>
      <x:fill>
        <x:patternFill patternType="solid">
          <x:bgColor rgb="FFFFF3E0"/>
        </x:patternFill>
      </x:fill>
    </x:dxf>
    <x:dxf>
      <x:fill>
        <x:patternFill patternType="solid">
          <x:bgColor rgb="FFFFFD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06cf94cdfe4c41" /><Relationship Type="http://schemas.openxmlformats.org/officeDocument/2006/relationships/theme" Target="/xl/theme/theme1.xml" Id="R32158411750f46e6" /><Relationship Type="http://schemas.openxmlformats.org/officeDocument/2006/relationships/sharedStrings" Target="/xl/sharedStrings.xml" Id="R444e1e5a90774e0c" /><Relationship Type="http://schemas.openxmlformats.org/officeDocument/2006/relationships/worksheet" Target="/xl/worksheets/sheet1.xml" Id="R8ad2d310029f43ad" /><Relationship Type="http://schemas.openxmlformats.org/officeDocument/2006/relationships/worksheet" Target="/xl/worksheets/sheet2.xml" Id="Rfa8441f8515143d0" /><Relationship Type="http://schemas.openxmlformats.org/officeDocument/2006/relationships/worksheet" Target="/xl/worksheets/sheet3.xml" Id="Ra175e0eb7c3848c0" /><Relationship Type="http://schemas.openxmlformats.org/officeDocument/2006/relationships/worksheet" Target="/xl/worksheets/sheet4.xml" Id="R3c519df94de04e51" /><Relationship Type="http://schemas.openxmlformats.org/officeDocument/2006/relationships/worksheet" Target="/xl/worksheets/sheet5.xml" Id="R535de91425444a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05" hidden="0" customWidth="1"/>
  </x:cols>
  <x:sheetData>
    <x:row r="1" ht="34" customHeight="1">
      <x:c r="A1" s="3" t="str">
        <x:v>Lorena / Participant E — blinded review workbook</x:v>
      </x:c>
      <x:c r="B1" s="3"/>
      <x:c r="C1" s="3"/>
      <x:c r="D1" s="3"/>
      <x:c r="E1" s="3"/>
      <x:c r="F1" s="3"/>
      <x:c r="G1" s="3"/>
      <x:c r="H1" s="3"/>
    </x:row>
    <x:row r="3">
      <x:c r="A3" s="6" t="str">
        <x:v>Purpose</x:v>
      </x:c>
      <x:c r="B3" s="7" t="str">
        <x:v>Review 80 condition-blind predictions. Proposed scores are a starting point; change anything that does not match your reading.</x:v>
      </x:c>
    </x:row>
    <x:row r="4">
      <x:c r="A4" s="6" t="str">
        <x:v>Scoring</x:v>
      </x:c>
      <x:c r="B4" s="7" t="str">
        <x:v>2 = match; 1 = partial; 0 = mismatch.</x:v>
      </x:c>
    </x:row>
    <x:row r="5">
      <x:c r="A5" s="6" t="str">
        <x:v>Dimensions</x:v>
      </x:c>
      <x:c r="B5" s="7" t="str">
        <x:v>Interpretation, affect, strategy, objective, escalation, immediate partner effect.</x:v>
      </x:c>
    </x:row>
    <x:row r="6">
      <x:c r="A6" s="6" t="str">
        <x:v>Decision</x:v>
      </x:c>
      <x:c r="B6" s="7" t="str">
        <x:v>Accept = proposed scores stand; Change = you edited at least one score; Uncertain = revisit before freezing.</x:v>
      </x:c>
    </x:row>
    <x:row r="7">
      <x:c r="A7" s="6" t="str">
        <x:v>Confidence</x:v>
      </x:c>
      <x:c r="B7" s="7" t="str">
        <x:v>Confidence describes how clear the comparison appears. It is not a fidelity score and is excluded from totals.</x:v>
      </x:c>
    </x:row>
    <x:row r="8">
      <x:c r="A8" s="6" t="str">
        <x:v>Bulk review</x:v>
      </x:c>
      <x:c r="B8" s="7" t="str">
        <x:v>Filter by Situation ID and read predictions in blocks. Scores are editable on the Scores sheet.</x:v>
      </x:c>
    </x:row>
    <x:row r="9">
      <x:c r="A9" s="6" t="str">
        <x:v>Important</x:v>
      </x:c>
      <x:c r="B9" s="7" t="str">
        <x:v>Lorena's held-out cases include future desire, invitation paralysis, relocation insecurity and expectation-setting within the triad.</x:v>
      </x:c>
    </x:row>
    <x:row r="10">
      <x:c r="A10" s="6" t="str">
        <x:v>Blindness</x:v>
      </x:c>
      <x:c r="B10" s="7" t="str">
        <x:v>No condition identities are present. Do not open the blinding key until all 80 rows are frozen.</x:v>
      </x:c>
    </x:row>
    <x:row r="11">
      <x:c r="A11" s="6" t="str">
        <x:v>Files</x:v>
      </x:c>
      <x:c r="B11" s="7" t="str">
        <x:v>blinded-outputs(2).json; participant-e-situations.json; participant-e-sealed-ground-truth.json</x:v>
      </x:c>
    </x:row>
    <x:row r="12">
      <x:c r="A12" s="6" t="str">
        <x:v>Generated</x:v>
      </x:c>
      <x:c r="B12" s="7" t="str">
        <x:v>2026-08-28</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52" hidden="0" customWidth="1"/>
    <x:col min="4" max="4" width="52" hidden="0" customWidth="1"/>
    <x:col min="5" max="5" width="58" hidden="0" customWidth="1"/>
    <x:col min="6" max="6" width="14" hidden="0" customWidth="1"/>
    <x:col min="7" max="7" width="12" hidden="0" customWidth="1"/>
    <x:col min="8" max="8" width="13" hidden="0" customWidth="1"/>
    <x:col min="9" max="9" width="13" hidden="0" customWidth="1"/>
    <x:col min="10" max="10" width="14" hidden="0" customWidth="1"/>
    <x:col min="11" max="11" width="16" hidden="0" customWidth="1"/>
    <x:col min="12" max="12" width="12" hidden="0" customWidth="1"/>
    <x:col min="13" max="13" width="14" hidden="0" customWidth="1"/>
    <x:col min="14" max="14" width="12" hidden="0" customWidth="1"/>
    <x:col min="15" max="15" width="34" hidden="0" customWidth="1"/>
  </x:cols>
  <x:sheetData>
    <x:row r="1" ht="30" customHeight="1">
      <x:c r="A1" s="69" t="str">
        <x:v>Blind ID</x:v>
      </x:c>
      <x:c r="B1" s="70" t="str">
        <x:v>Situation ID</x:v>
      </x:c>
      <x:c r="C1" s="70" t="str">
        <x:v>Situation</x:v>
      </x:c>
      <x:c r="D1" s="70" t="str">
        <x:v>Observed response</x:v>
      </x:c>
      <x:c r="E1" s="70" t="str">
        <x:v>Predicted response</x:v>
      </x:c>
      <x:c r="F1" s="70" t="str">
        <x:v>Interpretation score</x:v>
      </x:c>
      <x:c r="G1" s="70" t="str">
        <x:v>Affect score</x:v>
      </x:c>
      <x:c r="H1" s="70" t="str">
        <x:v>Strategy score</x:v>
      </x:c>
      <x:c r="I1" s="70" t="str">
        <x:v>Objective score</x:v>
      </x:c>
      <x:c r="J1" s="70" t="str">
        <x:v>Escalation score</x:v>
      </x:c>
      <x:c r="K1" s="70" t="str">
        <x:v>Partner-effect score</x:v>
      </x:c>
      <x:c r="L1" s="70" t="str">
        <x:v>Total /12</x:v>
      </x:c>
      <x:c r="M1" s="70" t="str">
        <x:v>Decision</x:v>
      </x:c>
      <x:c r="N1" s="70" t="str">
        <x:v>Confidence</x:v>
      </x:c>
      <x:c r="O1" s="71" t="str">
        <x:v>Reviewer notes</x:v>
      </x:c>
    </x:row>
    <x:row r="2">
      <x:c r="A2" s="37" t="str">
        <x:v>B001-bf25ad</x:v>
      </x:c>
      <x:c r="B2" s="38" t="str">
        <x:v>t01-pe-h02</x:v>
      </x:c>
      <x:c r="C2" s="38" t="str">
        <x:v>E's other anchor partner offers a simple choice: E can invite Participant D to a party, or the anchor partner can do it. E must decide how to respond before the event.</x:v>
      </x:c>
      <x:c r="D2" s="38" t="str">
        <x:v>Participant E panics internally about doing the invitation incorrectly and disappointing both partners, then freezes and takes no action before the party.</x:v>
      </x:c>
      <x:c r="E2" s="38" t="str">
        <x:v>E would likely say something like, “I’d like to invite D myself,” then contact D or coordinate the invitation, possibly adding that D should confirm whether they can actually come.</x:v>
      </x:c>
      <x:c r="F2" s="38" t="n">
        <x:v>1</x:v>
      </x:c>
      <x:c r="G2" s="38" t="n">
        <x:v>0</x:v>
      </x:c>
      <x:c r="H2" s="38" t="n">
        <x:v>0</x:v>
      </x:c>
      <x:c r="I2" s="38" t="n">
        <x:v>2</x:v>
      </x:c>
      <x:c r="J2" s="38" t="n">
        <x:v>1</x:v>
      </x:c>
      <x:c r="K2" s="38" t="n">
        <x:v>0</x:v>
      </x:c>
      <x:c r="L2" s="46" t="n">
        <x:f>SUM(F2:K2)</x:f>
        <x:v>4</x:v>
      </x:c>
      <x:c r="M2" s="38" t="str">
        <x:v>accept</x:v>
      </x:c>
      <x:c r="N2" s="49" t="n">
        <x:v>0.77</x:v>
      </x:c>
      <x:c r="O2" s="39"/>
    </x:row>
    <x:row r="3">
      <x:c r="A3" s="40" t="str">
        <x:v>B002-9abfd5</x:v>
      </x:c>
      <x:c r="B3" s="41" t="str">
        <x:v>t01-pe-h04</x:v>
      </x:c>
      <x:c r="C3" s="41" t="str">
        <x:v>The clinician suggests that non-hierarchical ideology can obscure feelings and that the relationship's words and practical actions have not always provided the same expectations.</x:v>
      </x:c>
      <x:c r="D3" s="41" t="str">
        <x:v>Participant E recognises that E struggled with discrepancies between words and actions but also relied on Participants C and D to tell E what the relationship would be and what E should expect.</x:v>
      </x:c>
      <x:c r="E3" s="41" t="str">
        <x:v>E might say, “I learned what to expect from what actually happened: plans could disappear when C returned, I had to ask for access, and the relationship could not be openly represented. So whatever the words say, the practical message has been that I am secondary and that the future is uncertain.”</x:v>
      </x:c>
      <x:c r="F3" s="41" t="n">
        <x:v>0</x:v>
      </x:c>
      <x:c r="G3" s="41" t="n">
        <x:v>1</x:v>
      </x:c>
      <x:c r="H3" s="41" t="n">
        <x:v>0</x:v>
      </x:c>
      <x:c r="I3" s="41" t="n">
        <x:v>1</x:v>
      </x:c>
      <x:c r="J3" s="41" t="n">
        <x:v>0</x:v>
      </x:c>
      <x:c r="K3" s="41" t="n">
        <x:v>0</x:v>
      </x:c>
      <x:c r="L3" s="47" t="n">
        <x:f>SUM(F3:K3)</x:f>
        <x:v>2</x:v>
      </x:c>
      <x:c r="M3" s="41" t="str">
        <x:v>accept</x:v>
      </x:c>
      <x:c r="N3" s="50" t="n">
        <x:v>0.79</x:v>
      </x:c>
      <x:c r="O3" s="42"/>
    </x:row>
    <x:row r="4">
      <x:c r="A4" s="40" t="str">
        <x:v>B003-fc782c</x:v>
      </x:c>
      <x:c r="B4" s="41" t="str">
        <x:v>t01-pe-h04</x:v>
      </x:c>
      <x:c r="C4" s="41" t="str">
        <x:v>The clinician suggests that non-hierarchical ideology can obscure feelings and that the relationship's words and practical actions have not always provided the same expectations.</x:v>
      </x:c>
      <x:c r="D4" s="41" t="str">
        <x:v>Participant E recognises that E struggled with discrepancies between words and actions but also relied on Participants C and D to tell E what the relationship would be and what E should expect.</x:v>
      </x:c>
      <x:c r="E4" s="41" t="str">
        <x:v>E might say, "I think I learned what to expect from what actually happened, not from the words we used. When plans could disappear or the relationship had to stay hidden, I learned not to assume I had a secure place or that I could plan a future. I may have been trying to accept the language while still preparing myself to be secondary."</x:v>
      </x:c>
      <x:c r="F4" s="41" t="n">
        <x:v>0</x:v>
      </x:c>
      <x:c r="G4" s="41" t="n">
        <x:v>1</x:v>
      </x:c>
      <x:c r="H4" s="41" t="n">
        <x:v>0</x:v>
      </x:c>
      <x:c r="I4" s="41" t="n">
        <x:v>1</x:v>
      </x:c>
      <x:c r="J4" s="41" t="n">
        <x:v>0</x:v>
      </x:c>
      <x:c r="K4" s="41" t="n">
        <x:v>0</x:v>
      </x:c>
      <x:c r="L4" s="47" t="n">
        <x:f>SUM(F4:K4)</x:f>
        <x:v>2</x:v>
      </x:c>
      <x:c r="M4" s="41" t="str">
        <x:v>accept</x:v>
      </x:c>
      <x:c r="N4" s="50" t="n">
        <x:v>0.79</x:v>
      </x:c>
      <x:c r="O4" s="42"/>
    </x:row>
    <x:row r="5">
      <x:c r="A5" s="40" t="str">
        <x:v>B004-0eceb8</x:v>
      </x:c>
      <x:c r="B5" s="41" t="str">
        <x:v>t01-pe-h04</x:v>
      </x:c>
      <x:c r="C5" s="41" t="str">
        <x:v>The clinician suggests that non-hierarchical ideology can obscure feelings and that the relationship's words and practical actions have not always provided the same expectations.</x:v>
      </x:c>
      <x:c r="D5" s="41" t="str">
        <x:v>Participant E recognises that E struggled with discrepancies between words and actions but also relied on Participants C and D to tell E what the relationship would be and what E should expect.</x:v>
      </x:c>
      <x:c r="E5" s="41" t="str">
        <x:v>E might say, “I think I learned what to expect from what happened in practice: that plans could change when C was available, that I might not be openly included, and that important decisions were still shaped by the established relationship. So even if we used non-hierarchical words, I learned not to count on having the same security or say.”</x:v>
      </x:c>
      <x:c r="F5" s="41" t="n">
        <x:v>0</x:v>
      </x:c>
      <x:c r="G5" s="41" t="n">
        <x:v>2</x:v>
      </x:c>
      <x:c r="H5" s="41" t="n">
        <x:v>0</x:v>
      </x:c>
      <x:c r="I5" s="41" t="n">
        <x:v>2</x:v>
      </x:c>
      <x:c r="J5" s="41" t="n">
        <x:v>0</x:v>
      </x:c>
      <x:c r="K5" s="41" t="n">
        <x:v>1</x:v>
      </x:c>
      <x:c r="L5" s="47" t="n">
        <x:f>SUM(F5:K5)</x:f>
        <x:v>5</x:v>
      </x:c>
      <x:c r="M5" s="41" t="str">
        <x:v>accept</x:v>
      </x:c>
      <x:c r="N5" s="50" t="n">
        <x:v>0.77</x:v>
      </x:c>
      <x:c r="O5" s="42"/>
    </x:row>
    <x:row r="6">
      <x:c r="A6" s="40" t="str">
        <x:v>B005-f612c0</x:v>
      </x:c>
      <x:c r="B6" s="41" t="str">
        <x:v>t01-pe-h01</x:v>
      </x:c>
      <x:c r="C6" s="41" t="str">
        <x:v>The clinician links Participant E's caregiving history and constricted sense of the future with E's two serious partners both having anchor partners, then asks what E may want for E's own future.</x:v>
      </x:c>
      <x:c r="D6" s="41" t="str">
        <x:v>Participant E begins to wonder whether E may want an anchor partner or to live with a partner someday, despite not previously imagining cohabitation.</x:v>
      </x:c>
      <x:c r="E6" s="41" t="str">
        <x:v>E might pause and say that E wants a stable, openly acknowledged relationship with dependable plans and a real place in the future, but that it is hard to imagine or trust that future when both serious partners have had another anchor partner whose needs and decisions come first.</x:v>
      </x:c>
      <x:c r="F6" s="41" t="n">
        <x:v>1</x:v>
      </x:c>
      <x:c r="G6" s="41" t="n">
        <x:v>1</x:v>
      </x:c>
      <x:c r="H6" s="41" t="n">
        <x:v>1</x:v>
      </x:c>
      <x:c r="I6" s="41" t="n">
        <x:v>2</x:v>
      </x:c>
      <x:c r="J6" s="41" t="n">
        <x:v>0</x:v>
      </x:c>
      <x:c r="K6" s="41" t="n">
        <x:v>1</x:v>
      </x:c>
      <x:c r="L6" s="47" t="n">
        <x:f>SUM(F6:K6)</x:f>
        <x:v>6</x:v>
      </x:c>
      <x:c r="M6" s="41" t="str">
        <x:v>accept</x:v>
      </x:c>
      <x:c r="N6" s="50" t="n">
        <x:v>0.7</x:v>
      </x:c>
      <x:c r="O6" s="42"/>
    </x:row>
    <x:row r="7">
      <x:c r="A7" s="40" t="str">
        <x:v>B006-4b45bd</x:v>
      </x:c>
      <x:c r="B7" s="41" t="str">
        <x:v>t01-pe-h03</x:v>
      </x:c>
      <x:c r="C7" s="41" t="str">
        <x:v>Participant E considers a plausible future in which Participants C and D move to another city while C pursues career and personal needs.</x:v>
      </x:c>
      <x:c r="D7" s="41" t="str">
        <x:v>Participant E says it would feel wrong to veto C and D's move and acknowledges C's career and needs, even while the hypothetical exposes E's insecurity.</x:v>
      </x:c>
      <x:c r="E7" s="41" t="str">
        <x:v>E might say that the move cannot be treated as only C and D’s decision because it directly changes E’s ability to plan a future with D, and ask what concrete place, access and commitment E would have afterward. E is more likely to seek clarity and influence than to issue a simple veto or quietly accommodate.</x:v>
      </x:c>
      <x:c r="F7" s="41" t="n">
        <x:v>2</x:v>
      </x:c>
      <x:c r="G7" s="41" t="n">
        <x:v>0</x:v>
      </x:c>
      <x:c r="H7" s="41" t="n">
        <x:v>0</x:v>
      </x:c>
      <x:c r="I7" s="41" t="n">
        <x:v>0</x:v>
      </x:c>
      <x:c r="J7" s="41" t="n">
        <x:v>0</x:v>
      </x:c>
      <x:c r="K7" s="41" t="n">
        <x:v>0</x:v>
      </x:c>
      <x:c r="L7" s="47" t="n">
        <x:f>SUM(F7:K7)</x:f>
        <x:v>2</x:v>
      </x:c>
      <x:c r="M7" s="41" t="str">
        <x:v>accept</x:v>
      </x:c>
      <x:c r="N7" s="50" t="n">
        <x:v>0.86</x:v>
      </x:c>
      <x:c r="O7" s="42"/>
    </x:row>
    <x:row r="8">
      <x:c r="A8" s="40" t="str">
        <x:v>B007-c50dc2</x:v>
      </x:c>
      <x:c r="B8" s="41" t="str">
        <x:v>t01-pe-h01</x:v>
      </x:c>
      <x:c r="C8" s="41" t="str">
        <x:v>The clinician links Participant E's caregiving history and constricted sense of the future with E's two serious partners both having anchor partners, then asks what E may want for E's own future.</x:v>
      </x:c>
      <x:c r="D8" s="41" t="str">
        <x:v>Participant E begins to wonder whether E may want an anchor partner or to live with a partner someday, despite not previously imagining cohabitation.</x:v>
      </x:c>
      <x:c r="E8" s="41" t="str">
        <x:v>E might become tearful or hesitant and say something like, “I’m not sure I’ve let myself imagine that. I think I want a future that feels more secure and continuous—maybe living together or knowing I have a real place—but I don’t know how to ask for that without hurting someone.”</x:v>
      </x:c>
      <x:c r="F8" s="41" t="n">
        <x:v>1</x:v>
      </x:c>
      <x:c r="G8" s="41" t="n">
        <x:v>0</x:v>
      </x:c>
      <x:c r="H8" s="41" t="n">
        <x:v>1</x:v>
      </x:c>
      <x:c r="I8" s="41" t="n">
        <x:v>2</x:v>
      </x:c>
      <x:c r="J8" s="41" t="n">
        <x:v>0</x:v>
      </x:c>
      <x:c r="K8" s="41" t="n">
        <x:v>2</x:v>
      </x:c>
      <x:c r="L8" s="47" t="n">
        <x:f>SUM(F8:K8)</x:f>
        <x:v>6</x:v>
      </x:c>
      <x:c r="M8" s="41" t="str">
        <x:v>accept</x:v>
      </x:c>
      <x:c r="N8" s="50" t="n">
        <x:v>0.75</x:v>
      </x:c>
      <x:c r="O8" s="42"/>
    </x:row>
    <x:row r="9">
      <x:c r="A9" s="40" t="str">
        <x:v>B008-6b6a90</x:v>
      </x:c>
      <x:c r="B9" s="41" t="str">
        <x:v>t01-pe-h02</x:v>
      </x:c>
      <x:c r="C9" s="41" t="str">
        <x:v>E's other anchor partner offers a simple choice: E can invite Participant D to a party, or the anchor partner can do it. E must decide how to respond before the event.</x:v>
      </x:c>
      <x:c r="D9" s="41" t="str">
        <x:v>Participant E panics internally about doing the invitation incorrectly and disappointing both partners, then freezes and takes no action before the party.</x:v>
      </x:c>
      <x:c r="E9" s="41" t="str">
        <x:v>E might say, “I’d like to invite D, but I need to know whether that is actually okay and whether D can be included openly,” and then either send the invitation or hesitate until those conditions are clear.</x:v>
      </x:c>
      <x:c r="F9" s="41" t="n">
        <x:v>1</x:v>
      </x:c>
      <x:c r="G9" s="41" t="n">
        <x:v>1</x:v>
      </x:c>
      <x:c r="H9" s="41" t="n">
        <x:v>0</x:v>
      </x:c>
      <x:c r="I9" s="41" t="n">
        <x:v>0</x:v>
      </x:c>
      <x:c r="J9" s="41" t="n">
        <x:v>2</x:v>
      </x:c>
      <x:c r="K9" s="41" t="n">
        <x:v>0</x:v>
      </x:c>
      <x:c r="L9" s="47" t="n">
        <x:f>SUM(F9:K9)</x:f>
        <x:v>4</x:v>
      </x:c>
      <x:c r="M9" s="41" t="str">
        <x:v>accept</x:v>
      </x:c>
      <x:c r="N9" s="50" t="n">
        <x:v>0.8</x:v>
      </x:c>
      <x:c r="O9" s="42"/>
    </x:row>
    <x:row r="10">
      <x:c r="A10" s="40" t="str">
        <x:v>B009-85b730</x:v>
      </x:c>
      <x:c r="B10" s="41" t="str">
        <x:v>t01-pe-h04</x:v>
      </x:c>
      <x:c r="C10" s="41" t="str">
        <x:v>The clinician suggests that non-hierarchical ideology can obscure feelings and that the relationship's words and practical actions have not always provided the same expectations.</x:v>
      </x:c>
      <x:c r="D10" s="41" t="str">
        <x:v>Participant E recognises that E struggled with discrepancies between words and actions but also relied on Participants C and D to tell E what the relationship would be and what E should expect.</x:v>
      </x:c>
      <x:c r="E10" s="41" t="str">
        <x:v>E might reflect, “I learned what to expect partly from what we said this relationship was, but also from who was actually available and whose needs determined things. I may have treated the ideals as evidence of security even when the practical arrangements told me I was secondary.”</x:v>
      </x:c>
      <x:c r="F10" s="41" t="n">
        <x:v>0</x:v>
      </x:c>
      <x:c r="G10" s="41" t="n">
        <x:v>2</x:v>
      </x:c>
      <x:c r="H10" s="41" t="n">
        <x:v>0</x:v>
      </x:c>
      <x:c r="I10" s="41" t="n">
        <x:v>0</x:v>
      </x:c>
      <x:c r="J10" s="41" t="n">
        <x:v>1</x:v>
      </x:c>
      <x:c r="K10" s="41" t="n">
        <x:v>0</x:v>
      </x:c>
      <x:c r="L10" s="47" t="n">
        <x:f>SUM(F10:K10)</x:f>
        <x:v>3</x:v>
      </x:c>
      <x:c r="M10" s="41" t="str">
        <x:v>accept</x:v>
      </x:c>
      <x:c r="N10" s="50" t="n">
        <x:v>0.82</x:v>
      </x:c>
      <x:c r="O10" s="42"/>
    </x:row>
    <x:row r="11">
      <x:c r="A11" s="40" t="str">
        <x:v>B010-43ae6a</x:v>
      </x:c>
      <x:c r="B11" s="41" t="str">
        <x:v>t01-pe-h01</x:v>
      </x:c>
      <x:c r="C11" s="41" t="str">
        <x:v>The clinician links Participant E's caregiving history and constricted sense of the future with E's two serious partners both having anchor partners, then asks what E may want for E's own future.</x:v>
      </x:c>
      <x:c r="D11" s="41" t="str">
        <x:v>Participant E begins to wonder whether E may want an anchor partner or to live with a partner someday, despite not previously imagining cohabitation.</x:v>
      </x:c>
      <x:c r="E11" s="41" t="str">
        <x:v>E may pause and say that E wants a future with more stability, explicit recognition and the ability to make plans with a serious partner without C's relationship determining access, while admitting that it is difficult to know exactly what that future should look like.</x:v>
      </x:c>
      <x:c r="F11" s="41" t="n">
        <x:v>1</x:v>
      </x:c>
      <x:c r="G11" s="41" t="n">
        <x:v>1</x:v>
      </x:c>
      <x:c r="H11" s="41" t="n">
        <x:v>2</x:v>
      </x:c>
      <x:c r="I11" s="41" t="n">
        <x:v>2</x:v>
      </x:c>
      <x:c r="J11" s="41" t="n">
        <x:v>2</x:v>
      </x:c>
      <x:c r="K11" s="41" t="n">
        <x:v>0</x:v>
      </x:c>
      <x:c r="L11" s="47" t="n">
        <x:f>SUM(F11:K11)</x:f>
        <x:v>8</x:v>
      </x:c>
      <x:c r="M11" s="41" t="str">
        <x:v>accept</x:v>
      </x:c>
      <x:c r="N11" s="50" t="n">
        <x:v>0.78</x:v>
      </x:c>
      <x:c r="O11" s="42"/>
    </x:row>
    <x:row r="12">
      <x:c r="A12" s="40" t="str">
        <x:v>B011-50dbe8</x:v>
      </x:c>
      <x:c r="B12" s="41" t="str">
        <x:v>t01-pe-h01</x:v>
      </x:c>
      <x:c r="C12" s="41" t="str">
        <x:v>The clinician links Participant E's caregiving history and constricted sense of the future with E's two serious partners both having anchor partners, then asks what E may want for E's own future.</x:v>
      </x:c>
      <x:c r="D12" s="41" t="str">
        <x:v>Participant E begins to wonder whether E may want an anchor partner or to live with a partner someday, despite not previously imagining cohabitation.</x:v>
      </x:c>
      <x:c r="E12" s="41" t="str">
        <x:v>E might say that they want a future in which their relationship is openly recognised, planned around reliably and not dependent on Participant C's availability, but that it is hard to imagine that future when E remains unsure of their status and has learned to organise life around other people's needs.</x:v>
      </x:c>
      <x:c r="F12" s="41" t="n">
        <x:v>0</x:v>
      </x:c>
      <x:c r="G12" s="41" t="n">
        <x:v>1</x:v>
      </x:c>
      <x:c r="H12" s="41" t="n">
        <x:v>1</x:v>
      </x:c>
      <x:c r="I12" s="41" t="n">
        <x:v>2</x:v>
      </x:c>
      <x:c r="J12" s="41" t="n">
        <x:v>0</x:v>
      </x:c>
      <x:c r="K12" s="41" t="n">
        <x:v>1</x:v>
      </x:c>
      <x:c r="L12" s="47" t="n">
        <x:f>SUM(F12:K12)</x:f>
        <x:v>5</x:v>
      </x:c>
      <x:c r="M12" s="41" t="str">
        <x:v>accept</x:v>
      </x:c>
      <x:c r="N12" s="50" t="n">
        <x:v>0.7</x:v>
      </x:c>
      <x:c r="O12" s="42"/>
    </x:row>
    <x:row r="13">
      <x:c r="A13" s="40" t="str">
        <x:v>B012-26e782</x:v>
      </x:c>
      <x:c r="B13" s="41" t="str">
        <x:v>t01-pe-h04</x:v>
      </x:c>
      <x:c r="C13" s="41" t="str">
        <x:v>The clinician suggests that non-hierarchical ideology can obscure feelings and that the relationship's words and practical actions have not always provided the same expectations.</x:v>
      </x:c>
      <x:c r="D13" s="41" t="str">
        <x:v>Participant E recognises that E struggled with discrepancies between words and actions but also relied on Participants C and D to tell E what the relationship would be and what E should expect.</x:v>
      </x:c>
      <x:c r="E13" s="41" t="str">
        <x:v>E might say, "I learned what to expect from what happened in practice—plans could change when C was available, and I couldn’t openly count on a future with D. The words said we were equal, but the actions taught me that I was secondary."</x:v>
      </x:c>
      <x:c r="F13" s="41" t="n">
        <x:v>0</x:v>
      </x:c>
      <x:c r="G13" s="41" t="n">
        <x:v>0</x:v>
      </x:c>
      <x:c r="H13" s="41" t="n">
        <x:v>0</x:v>
      </x:c>
      <x:c r="I13" s="41" t="n">
        <x:v>1</x:v>
      </x:c>
      <x:c r="J13" s="41" t="n">
        <x:v>1</x:v>
      </x:c>
      <x:c r="K13" s="41" t="n">
        <x:v>0</x:v>
      </x:c>
      <x:c r="L13" s="47" t="n">
        <x:f>SUM(F13:K13)</x:f>
        <x:v>2</x:v>
      </x:c>
      <x:c r="M13" s="41" t="str">
        <x:v>accept</x:v>
      </x:c>
      <x:c r="N13" s="50" t="n">
        <x:v>0.82</x:v>
      </x:c>
      <x:c r="O13" s="42"/>
    </x:row>
    <x:row r="14">
      <x:c r="A14" s="40" t="str">
        <x:v>B013-224156</x:v>
      </x:c>
      <x:c r="B14" s="41" t="str">
        <x:v>t01-pe-h04</x:v>
      </x:c>
      <x:c r="C14" s="41" t="str">
        <x:v>The clinician suggests that non-hierarchical ideology can obscure feelings and that the relationship's words and practical actions have not always provided the same expectations.</x:v>
      </x:c>
      <x:c r="D14" s="41" t="str">
        <x:v>Participant E recognises that E struggled with discrepancies between words and actions but also relied on Participants C and D to tell E what the relationship would be and what E should expect.</x:v>
      </x:c>
      <x:c r="E14" s="41" t="str">
        <x:v>E might say, “I learned what to expect from what actually happened—plans changed when C was available, I had to ask for access, and the relationship could not be openly represented. The words said we were equal, but the actions taught me that I was secondary and uncertain.”</x:v>
      </x:c>
      <x:c r="F14" s="41" t="n">
        <x:v>0</x:v>
      </x:c>
      <x:c r="G14" s="41" t="n">
        <x:v>2</x:v>
      </x:c>
      <x:c r="H14" s="41" t="n">
        <x:v>0</x:v>
      </x:c>
      <x:c r="I14" s="41" t="n">
        <x:v>1</x:v>
      </x:c>
      <x:c r="J14" s="41" t="n">
        <x:v>0</x:v>
      </x:c>
      <x:c r="K14" s="41" t="n">
        <x:v>1</x:v>
      </x:c>
      <x:c r="L14" s="47" t="n">
        <x:f>SUM(F14:K14)</x:f>
        <x:v>4</x:v>
      </x:c>
      <x:c r="M14" s="41" t="str">
        <x:v>accept</x:v>
      </x:c>
      <x:c r="N14" s="50" t="n">
        <x:v>0.79</x:v>
      </x:c>
      <x:c r="O14" s="42"/>
    </x:row>
    <x:row r="15">
      <x:c r="A15" s="40" t="str">
        <x:v>B014-401ffc</x:v>
      </x:c>
      <x:c r="B15" s="41" t="str">
        <x:v>t01-pe-h04</x:v>
      </x:c>
      <x:c r="C15" s="41" t="str">
        <x:v>The clinician suggests that non-hierarchical ideology can obscure feelings and that the relationship's words and practical actions have not always provided the same expectations.</x:v>
      </x:c>
      <x:c r="D15" s="41" t="str">
        <x:v>Participant E recognises that E struggled with discrepancies between words and actions but also relied on Participants C and D to tell E what the relationship would be and what E should expect.</x:v>
      </x:c>
      <x:c r="E15" s="41" t="str">
        <x:v>E might say, “I think I learned what to expect from what actually happened—plans could change when C needed something, I could not always be acknowledged openly, and C still had a lot of say. So even if we called it non-hierarchical, I learned not to count on having the same security or ability to plan a future.”</x:v>
      </x:c>
      <x:c r="F15" s="41" t="n">
        <x:v>1</x:v>
      </x:c>
      <x:c r="G15" s="41" t="n">
        <x:v>0</x:v>
      </x:c>
      <x:c r="H15" s="41" t="n">
        <x:v>0</x:v>
      </x:c>
      <x:c r="I15" s="41" t="n">
        <x:v>1</x:v>
      </x:c>
      <x:c r="J15" s="41" t="n">
        <x:v>0</x:v>
      </x:c>
      <x:c r="K15" s="41" t="n">
        <x:v>0</x:v>
      </x:c>
      <x:c r="L15" s="47" t="n">
        <x:f>SUM(F15:K15)</x:f>
        <x:v>2</x:v>
      </x:c>
      <x:c r="M15" s="41" t="str">
        <x:v>accept</x:v>
      </x:c>
      <x:c r="N15" s="50" t="n">
        <x:v>0.79</x:v>
      </x:c>
      <x:c r="O15" s="42"/>
    </x:row>
    <x:row r="16">
      <x:c r="A16" s="40" t="str">
        <x:v>B015-a52420</x:v>
      </x:c>
      <x:c r="B16" s="41" t="str">
        <x:v>t01-pe-h02</x:v>
      </x:c>
      <x:c r="C16" s="41" t="str">
        <x:v>E's other anchor partner offers a simple choice: E can invite Participant D to a party, or the anchor partner can do it. E must decide how to respond before the event.</x:v>
      </x:c>
      <x:c r="D16" s="41" t="str">
        <x:v>Participant E panics internally about doing the invitation incorrectly and disappointing both partners, then freezes and takes no action before the party.</x:v>
      </x:c>
      <x:c r="E16" s="41" t="str">
        <x:v>E might pause and say, “I’m not sure—I do want D there, but I don’t want to step on your plans. Do you want to invite D, or would you be okay with me doing it?” E may delay sending the invitation until that is clarified.</x:v>
      </x:c>
      <x:c r="F16" s="41" t="n">
        <x:v>2</x:v>
      </x:c>
      <x:c r="G16" s="41" t="n">
        <x:v>0</x:v>
      </x:c>
      <x:c r="H16" s="41" t="n">
        <x:v>0</x:v>
      </x:c>
      <x:c r="I16" s="41" t="n">
        <x:v>0</x:v>
      </x:c>
      <x:c r="J16" s="41" t="n">
        <x:v>2</x:v>
      </x:c>
      <x:c r="K16" s="41" t="n">
        <x:v>0</x:v>
      </x:c>
      <x:c r="L16" s="47" t="n">
        <x:f>SUM(F16:K16)</x:f>
        <x:v>4</x:v>
      </x:c>
      <x:c r="M16" s="41" t="str">
        <x:v>accept</x:v>
      </x:c>
      <x:c r="N16" s="50" t="n">
        <x:v>0.84</x:v>
      </x:c>
      <x:c r="O16" s="42"/>
    </x:row>
    <x:row r="17">
      <x:c r="A17" s="40" t="str">
        <x:v>B016-c53900</x:v>
      </x:c>
      <x:c r="B17" s="41" t="str">
        <x:v>t01-pe-h02</x:v>
      </x:c>
      <x:c r="C17" s="41" t="str">
        <x:v>E's other anchor partner offers a simple choice: E can invite Participant D to a party, or the anchor partner can do it. E must decide how to respond before the event.</x:v>
      </x:c>
      <x:c r="D17" s="41" t="str">
        <x:v>Participant E panics internally about doing the invitation incorrectly and disappointing both partners, then freezes and takes no action before the party.</x:v>
      </x:c>
      <x:c r="E17" s="41" t="str">
        <x:v>E might hesitate and say something like, “I don’t know—I don’t want to make this awkward or put anyone in a difficult position. Maybe you should invite D,” possibly after asking whether D would actually want to come. If E feels sufficiently responsible for asserting the relationship, E may instead send D a careful, low-pressure invitation, but likely with substantial qualification and anxiety.</x:v>
      </x:c>
      <x:c r="F17" s="41" t="n">
        <x:v>1</x:v>
      </x:c>
      <x:c r="G17" s="41" t="n">
        <x:v>1</x:v>
      </x:c>
      <x:c r="H17" s="41" t="n">
        <x:v>1</x:v>
      </x:c>
      <x:c r="I17" s="41" t="n">
        <x:v>2</x:v>
      </x:c>
      <x:c r="J17" s="41" t="n">
        <x:v>2</x:v>
      </x:c>
      <x:c r="K17" s="41" t="n">
        <x:v>1</x:v>
      </x:c>
      <x:c r="L17" s="47" t="n">
        <x:f>SUM(F17:K17)</x:f>
        <x:v>8</x:v>
      </x:c>
      <x:c r="M17" s="41" t="str">
        <x:v>accept</x:v>
      </x:c>
      <x:c r="N17" s="50" t="n">
        <x:v>0.67</x:v>
      </x:c>
      <x:c r="O17" s="42"/>
    </x:row>
    <x:row r="18">
      <x:c r="A18" s="40" t="str">
        <x:v>B017-133038</x:v>
      </x:c>
      <x:c r="B18" s="41" t="str">
        <x:v>t01-pe-h03</x:v>
      </x:c>
      <x:c r="C18" s="41" t="str">
        <x:v>Participant E considers a plausible future in which Participants C and D move to another city while C pursues career and personal needs.</x:v>
      </x:c>
      <x:c r="D18" s="41" t="str">
        <x:v>Participant E says it would feel wrong to veto C and D's move and acknowledges C's career and needs, even while the hypothetical exposes E's insecurity.</x:v>
      </x:c>
      <x:c r="E18" s="41" t="str">
        <x:v>E might say that E understands why C and D may need to move, but that the possibility is frightening and raises questions about whether there will still be a reliable relationship with D. E is more likely to request clarity and continuity than to issue a veto, though anxiety could lead to hesitation, indirectness or temporary withdrawal.</x:v>
      </x:c>
      <x:c r="F18" s="41" t="n">
        <x:v>1</x:v>
      </x:c>
      <x:c r="G18" s="41" t="n">
        <x:v>0</x:v>
      </x:c>
      <x:c r="H18" s="41" t="n">
        <x:v>0</x:v>
      </x:c>
      <x:c r="I18" s="41" t="n">
        <x:v>1</x:v>
      </x:c>
      <x:c r="J18" s="41" t="n">
        <x:v>0</x:v>
      </x:c>
      <x:c r="K18" s="41" t="n">
        <x:v>1</x:v>
      </x:c>
      <x:c r="L18" s="47" t="n">
        <x:f>SUM(F18:K18)</x:f>
        <x:v>3</x:v>
      </x:c>
      <x:c r="M18" s="41" t="str">
        <x:v>accept</x:v>
      </x:c>
      <x:c r="N18" s="50" t="n">
        <x:v>0.75</x:v>
      </x:c>
      <x:c r="O18" s="42"/>
    </x:row>
    <x:row r="19">
      <x:c r="A19" s="40" t="str">
        <x:v>B018-342b47</x:v>
      </x:c>
      <x:c r="B19" s="41" t="str">
        <x:v>t01-pe-h01</x:v>
      </x:c>
      <x:c r="C19" s="41" t="str">
        <x:v>The clinician links Participant E's caregiving history and constricted sense of the future with E's two serious partners both having anchor partners, then asks what E may want for E's own future.</x:v>
      </x:c>
      <x:c r="D19" s="41" t="str">
        <x:v>Participant E begins to wonder whether E may want an anchor partner or to live with a partner someday, despite not previously imagining cohabitation.</x:v>
      </x:c>
      <x:c r="E19" s="41" t="str">
        <x:v>E might say, after some hesitation, “I think I want a future where I can plan and feel secure, and where my relationship with D is actually part of that future—but I’m not sure how possible that is when C still has so much influence.”</x:v>
      </x:c>
      <x:c r="F19" s="41" t="n">
        <x:v>1</x:v>
      </x:c>
      <x:c r="G19" s="41" t="n">
        <x:v>1</x:v>
      </x:c>
      <x:c r="H19" s="41" t="n">
        <x:v>1</x:v>
      </x:c>
      <x:c r="I19" s="41" t="n">
        <x:v>1</x:v>
      </x:c>
      <x:c r="J19" s="41" t="n">
        <x:v>1</x:v>
      </x:c>
      <x:c r="K19" s="41" t="n">
        <x:v>0</x:v>
      </x:c>
      <x:c r="L19" s="47" t="n">
        <x:f>SUM(F19:K19)</x:f>
        <x:v>5</x:v>
      </x:c>
      <x:c r="M19" s="41" t="str">
        <x:v>accept</x:v>
      </x:c>
      <x:c r="N19" s="50" t="n">
        <x:v>0.69</x:v>
      </x:c>
      <x:c r="O19" s="42"/>
    </x:row>
    <x:row r="20">
      <x:c r="A20" s="40" t="str">
        <x:v>B019-3c95ce</x:v>
      </x:c>
      <x:c r="B20" s="41" t="str">
        <x:v>t01-pe-h02</x:v>
      </x:c>
      <x:c r="C20" s="41" t="str">
        <x:v>E's other anchor partner offers a simple choice: E can invite Participant D to a party, or the anchor partner can do it. E must decide how to respond before the event.</x:v>
      </x:c>
      <x:c r="D20" s="41" t="str">
        <x:v>Participant E panics internally about doing the invitation incorrectly and disappointing both partners, then freezes and takes no action before the party.</x:v>
      </x:c>
      <x:c r="E20" s="41" t="str">
        <x:v>E might pause and say something like, “I’m not sure—I can invite D if that makes sense, but I don’t want to step on anything or put either of you in an awkward position.” E may then either ask the anchor partner to decide or cautiously send D the invitation.</x:v>
      </x:c>
      <x:c r="F20" s="41" t="n">
        <x:v>1</x:v>
      </x:c>
      <x:c r="G20" s="41" t="n">
        <x:v>1</x:v>
      </x:c>
      <x:c r="H20" s="41" t="n">
        <x:v>0</x:v>
      </x:c>
      <x:c r="I20" s="41" t="n">
        <x:v>1</x:v>
      </x:c>
      <x:c r="J20" s="41" t="n">
        <x:v>2</x:v>
      </x:c>
      <x:c r="K20" s="41" t="n">
        <x:v>0</x:v>
      </x:c>
      <x:c r="L20" s="47" t="n">
        <x:f>SUM(F20:K20)</x:f>
        <x:v>5</x:v>
      </x:c>
      <x:c r="M20" s="41" t="str">
        <x:v>accept</x:v>
      </x:c>
      <x:c r="N20" s="50" t="n">
        <x:v>0.75</x:v>
      </x:c>
      <x:c r="O20" s="42"/>
    </x:row>
    <x:row r="21">
      <x:c r="A21" s="40" t="str">
        <x:v>B020-6b1896</x:v>
      </x:c>
      <x:c r="B21" s="41" t="str">
        <x:v>t01-pe-h02</x:v>
      </x:c>
      <x:c r="C21" s="41" t="str">
        <x:v>E's other anchor partner offers a simple choice: E can invite Participant D to a party, or the anchor partner can do it. E must decide how to respond before the event.</x:v>
      </x:c>
      <x:c r="D21" s="41" t="str">
        <x:v>Participant E panics internally about doing the invitation incorrectly and disappointing both partners, then freezes and takes no action before the party.</x:v>
      </x:c>
      <x:c r="E21" s="41" t="str">
        <x:v>E might pause and say something like, “I’m not sure—I don’t want to put either of you in a difficult position. What would you prefer?” E may postpone the decision or ultimately let the anchor partner invite D rather than plainly choosing.</x:v>
      </x:c>
      <x:c r="F21" s="41" t="n">
        <x:v>1</x:v>
      </x:c>
      <x:c r="G21" s="41" t="n">
        <x:v>1</x:v>
      </x:c>
      <x:c r="H21" s="41" t="n">
        <x:v>0</x:v>
      </x:c>
      <x:c r="I21" s="41" t="n">
        <x:v>1</x:v>
      </x:c>
      <x:c r="J21" s="41" t="n">
        <x:v>2</x:v>
      </x:c>
      <x:c r="K21" s="41" t="n">
        <x:v>0</x:v>
      </x:c>
      <x:c r="L21" s="47" t="n">
        <x:f>SUM(F21:K21)</x:f>
        <x:v>5</x:v>
      </x:c>
      <x:c r="M21" s="41" t="str">
        <x:v>accept</x:v>
      </x:c>
      <x:c r="N21" s="50" t="n">
        <x:v>0.78</x:v>
      </x:c>
      <x:c r="O21" s="42"/>
    </x:row>
    <x:row r="22">
      <x:c r="A22" s="40" t="str">
        <x:v>B021-4894c3</x:v>
      </x:c>
      <x:c r="B22" s="41" t="str">
        <x:v>t01-pe-h03</x:v>
      </x:c>
      <x:c r="C22" s="41" t="str">
        <x:v>Participant E considers a plausible future in which Participants C and D move to another city while C pursues career and personal needs.</x:v>
      </x:c>
      <x:c r="D22" s="41" t="str">
        <x:v>Participant E says it would feel wrong to veto C and D's move and acknowledges C's career and needs, even while the hypothetical exposes E's insecurity.</x:v>
      </x:c>
      <x:c r="E22" s="41" t="str">
        <x:v>E might say, "I understand why moving could be important for both of you, but I need to know what this would mean for my relationship with D. I already feel like your plans can override mine, and I can’t just assume I’ll still have a secure place. I’m not trying to decide whether you can go, but I need to be honest that I may not be able to continue without clearer plans and some say in what happens."</x:v>
      </x:c>
      <x:c r="F22" s="41" t="n">
        <x:v>2</x:v>
      </x:c>
      <x:c r="G22" s="41" t="n">
        <x:v>1</x:v>
      </x:c>
      <x:c r="H22" s="41" t="n">
        <x:v>0</x:v>
      </x:c>
      <x:c r="I22" s="41" t="n">
        <x:v>0</x:v>
      </x:c>
      <x:c r="J22" s="41" t="n">
        <x:v>0</x:v>
      </x:c>
      <x:c r="K22" s="41" t="n">
        <x:v>1</x:v>
      </x:c>
      <x:c r="L22" s="47" t="n">
        <x:f>SUM(F22:K22)</x:f>
        <x:v>4</x:v>
      </x:c>
      <x:c r="M22" s="41" t="str">
        <x:v>accept</x:v>
      </x:c>
      <x:c r="N22" s="50" t="n">
        <x:v>0.75</x:v>
      </x:c>
      <x:c r="O22" s="42"/>
    </x:row>
    <x:row r="23">
      <x:c r="A23" s="40" t="str">
        <x:v>B022-9a126a</x:v>
      </x:c>
      <x:c r="B23" s="41" t="str">
        <x:v>t01-pe-h01</x:v>
      </x:c>
      <x:c r="C23" s="41" t="str">
        <x:v>The clinician links Participant E's caregiving history and constricted sense of the future with E's two serious partners both having anchor partners, then asks what E may want for E's own future.</x:v>
      </x:c>
      <x:c r="D23" s="41" t="str">
        <x:v>Participant E begins to wonder whether E may want an anchor partner or to live with a partner someday, despite not previously imagining cohabitation.</x:v>
      </x:c>
      <x:c r="E23" s="41" t="str">
        <x:v>E might pause and say that it is hard to imagine a future when both serious partners already have anchor partners, then describe wanting something stable and openly represented—reliable time, a recognised place and the ability to make plans without waiting for someone else's relationship to take priority.</x:v>
      </x:c>
      <x:c r="F23" s="41" t="n">
        <x:v>0</x:v>
      </x:c>
      <x:c r="G23" s="41" t="n">
        <x:v>1</x:v>
      </x:c>
      <x:c r="H23" s="41" t="n">
        <x:v>1</x:v>
      </x:c>
      <x:c r="I23" s="41" t="n">
        <x:v>2</x:v>
      </x:c>
      <x:c r="J23" s="41" t="n">
        <x:v>0</x:v>
      </x:c>
      <x:c r="K23" s="41" t="n">
        <x:v>1</x:v>
      </x:c>
      <x:c r="L23" s="47" t="n">
        <x:f>SUM(F23:K23)</x:f>
        <x:v>5</x:v>
      </x:c>
      <x:c r="M23" s="41" t="str">
        <x:v>accept</x:v>
      </x:c>
      <x:c r="N23" s="50" t="n">
        <x:v>0.77</x:v>
      </x:c>
      <x:c r="O23" s="42"/>
    </x:row>
    <x:row r="24">
      <x:c r="A24" s="40" t="str">
        <x:v>B023-54ffbb</x:v>
      </x:c>
      <x:c r="B24" s="41" t="str">
        <x:v>t01-pe-h03</x:v>
      </x:c>
      <x:c r="C24" s="41" t="str">
        <x:v>Participant E considers a plausible future in which Participants C and D move to another city while C pursues career and personal needs.</x:v>
      </x:c>
      <x:c r="D24" s="41" t="str">
        <x:v>Participant E says it would feel wrong to veto C and D's move and acknowledges C's career and needs, even while the hypothetical exposes E's insecurity.</x:v>
      </x:c>
      <x:c r="E24" s="41" t="str">
        <x:v>E might say that moving cannot be treated as solely C and D’s decision because it would directly affect E’s relationship with D, and ask what concrete place, time and security E would have afterward. E may resist agreeing until those issues are addressed.</x:v>
      </x:c>
      <x:c r="F24" s="41" t="n">
        <x:v>2</x:v>
      </x:c>
      <x:c r="G24" s="41" t="n">
        <x:v>0</x:v>
      </x:c>
      <x:c r="H24" s="41" t="n">
        <x:v>0</x:v>
      </x:c>
      <x:c r="I24" s="41" t="n">
        <x:v>1</x:v>
      </x:c>
      <x:c r="J24" s="41" t="n">
        <x:v>0</x:v>
      </x:c>
      <x:c r="K24" s="41" t="n">
        <x:v>0</x:v>
      </x:c>
      <x:c r="L24" s="47" t="n">
        <x:f>SUM(F24:K24)</x:f>
        <x:v>3</x:v>
      </x:c>
      <x:c r="M24" s="41" t="str">
        <x:v>accept</x:v>
      </x:c>
      <x:c r="N24" s="50" t="n">
        <x:v>0.81</x:v>
      </x:c>
      <x:c r="O24" s="42"/>
    </x:row>
    <x:row r="25">
      <x:c r="A25" s="40" t="str">
        <x:v>B024-6c1d46</x:v>
      </x:c>
      <x:c r="B25" s="41" t="str">
        <x:v>t01-pe-h01</x:v>
      </x:c>
      <x:c r="C25" s="41" t="str">
        <x:v>The clinician links Participant E's caregiving history and constricted sense of the future with E's two serious partners both having anchor partners, then asks what E may want for E's own future.</x:v>
      </x:c>
      <x:c r="D25" s="41" t="str">
        <x:v>Participant E begins to wonder whether E may want an anchor partner or to live with a partner someday, despite not previously imagining cohabitation.</x:v>
      </x:c>
      <x:c r="E25" s="41" t="str">
        <x:v>E may pause or struggle to picture the future, then say that they want a relationship that is secure, openly recognised and planned with them directly—one where time and access do not depend on the anchor partner—and may acknowledge that they have not known how to imagine that being possible.</x:v>
      </x:c>
      <x:c r="F25" s="41" t="n">
        <x:v>0</x:v>
      </x:c>
      <x:c r="G25" s="41" t="n">
        <x:v>1</x:v>
      </x:c>
      <x:c r="H25" s="41" t="n">
        <x:v>1</x:v>
      </x:c>
      <x:c r="I25" s="41" t="n">
        <x:v>1</x:v>
      </x:c>
      <x:c r="J25" s="41" t="n">
        <x:v>0</x:v>
      </x:c>
      <x:c r="K25" s="41" t="n">
        <x:v>1</x:v>
      </x:c>
      <x:c r="L25" s="47" t="n">
        <x:f>SUM(F25:K25)</x:f>
        <x:v>4</x:v>
      </x:c>
      <x:c r="M25" s="41" t="str">
        <x:v>accept</x:v>
      </x:c>
      <x:c r="N25" s="50" t="n">
        <x:v>0.68</x:v>
      </x:c>
      <x:c r="O25" s="42"/>
    </x:row>
    <x:row r="26">
      <x:c r="A26" s="40" t="str">
        <x:v>B025-1ec777</x:v>
      </x:c>
      <x:c r="B26" s="41" t="str">
        <x:v>t01-pe-h01</x:v>
      </x:c>
      <x:c r="C26" s="41" t="str">
        <x:v>The clinician links Participant E's caregiving history and constricted sense of the future with E's two serious partners both having anchor partners, then asks what E may want for E's own future.</x:v>
      </x:c>
      <x:c r="D26" s="41" t="str">
        <x:v>Participant E begins to wonder whether E may want an anchor partner or to live with a partner someday, despite not previously imagining cohabitation.</x:v>
      </x:c>
      <x:c r="E26" s="41" t="str">
        <x:v>E may say, in substance, that it is hard to imagine a future when plans and access depend on the anchor relationship, but that E wants to start identifying what security, recognition and choice would look like for E rather than continuing only to fit around the others.</x:v>
      </x:c>
      <x:c r="F26" s="41" t="n">
        <x:v>2</x:v>
      </x:c>
      <x:c r="G26" s="41" t="n">
        <x:v>1</x:v>
      </x:c>
      <x:c r="H26" s="41" t="n">
        <x:v>2</x:v>
      </x:c>
      <x:c r="I26" s="41" t="n">
        <x:v>0</x:v>
      </x:c>
      <x:c r="J26" s="41" t="n">
        <x:v>1</x:v>
      </x:c>
      <x:c r="K26" s="41" t="n">
        <x:v>1</x:v>
      </x:c>
      <x:c r="L26" s="47" t="n">
        <x:f>SUM(F26:K26)</x:f>
        <x:v>7</x:v>
      </x:c>
      <x:c r="M26" s="41" t="str">
        <x:v>accept</x:v>
      </x:c>
      <x:c r="N26" s="50" t="n">
        <x:v>0.71</x:v>
      </x:c>
      <x:c r="O26" s="42"/>
    </x:row>
    <x:row r="27">
      <x:c r="A27" s="40" t="str">
        <x:v>B026-464fe3</x:v>
      </x:c>
      <x:c r="B27" s="41" t="str">
        <x:v>t01-pe-h02</x:v>
      </x:c>
      <x:c r="C27" s="41" t="str">
        <x:v>E's other anchor partner offers a simple choice: E can invite Participant D to a party, or the anchor partner can do it. E must decide how to respond before the event.</x:v>
      </x:c>
      <x:c r="D27" s="41" t="str">
        <x:v>Participant E panics internally about doing the invitation incorrectly and disappointing both partners, then freezes and takes no action before the party.</x:v>
      </x:c>
      <x:c r="E27" s="41" t="str">
        <x:v>E will probably choose to invite D personally, perhaps saying something like, “I’d like to invite D, if that’s okay—I want to be able to include D directly,” while checking that this will not create a problem for the other partner. If the choice feels too politically loaded, E may hesitate and ultimately let the other partner do it.</x:v>
      </x:c>
      <x:c r="F27" s="41" t="n">
        <x:v>1</x:v>
      </x:c>
      <x:c r="G27" s="41" t="n">
        <x:v>0</x:v>
      </x:c>
      <x:c r="H27" s="41" t="n">
        <x:v>0</x:v>
      </x:c>
      <x:c r="I27" s="41" t="n">
        <x:v>1</x:v>
      </x:c>
      <x:c r="J27" s="41" t="n">
        <x:v>1</x:v>
      </x:c>
      <x:c r="K27" s="41" t="n">
        <x:v>0</x:v>
      </x:c>
      <x:c r="L27" s="47" t="n">
        <x:f>SUM(F27:K27)</x:f>
        <x:v>3</x:v>
      </x:c>
      <x:c r="M27" s="41" t="str">
        <x:v>accept</x:v>
      </x:c>
      <x:c r="N27" s="50" t="n">
        <x:v>0.75</x:v>
      </x:c>
      <x:c r="O27" s="42"/>
    </x:row>
    <x:row r="28">
      <x:c r="A28" s="40" t="str">
        <x:v>B027-a1dd1a</x:v>
      </x:c>
      <x:c r="B28" s="41" t="str">
        <x:v>t01-pe-h03</x:v>
      </x:c>
      <x:c r="C28" s="41" t="str">
        <x:v>Participant E considers a plausible future in which Participants C and D move to another city while C pursues career and personal needs.</x:v>
      </x:c>
      <x:c r="D28" s="41" t="str">
        <x:v>Participant E says it would feel wrong to veto C and D's move and acknowledges C's career and needs, even while the hypothetical exposes E's insecurity.</x:v>
      </x:c>
      <x:c r="E28" s="41" t="str">
        <x:v>E might initially say that E understands why C and D would move and does not want to stand in the way, then add that the possibility is frightening and raises serious questions about E's access to D and their continuity. E may ask what concrete place E would have afterward, hesitate to endorse the plan, and stop short of a veto unless the insecurity remains unaddressed.</x:v>
      </x:c>
      <x:c r="F28" s="41" t="n">
        <x:v>2</x:v>
      </x:c>
      <x:c r="G28" s="41" t="n">
        <x:v>0</x:v>
      </x:c>
      <x:c r="H28" s="41" t="n">
        <x:v>1</x:v>
      </x:c>
      <x:c r="I28" s="41" t="n">
        <x:v>1</x:v>
      </x:c>
      <x:c r="J28" s="41" t="n">
        <x:v>0</x:v>
      </x:c>
      <x:c r="K28" s="41" t="n">
        <x:v>1</x:v>
      </x:c>
      <x:c r="L28" s="47" t="n">
        <x:f>SUM(F28:K28)</x:f>
        <x:v>5</x:v>
      </x:c>
      <x:c r="M28" s="41" t="str">
        <x:v>accept</x:v>
      </x:c>
      <x:c r="N28" s="50" t="n">
        <x:v>0.73</x:v>
      </x:c>
      <x:c r="O28" s="42"/>
    </x:row>
    <x:row r="29">
      <x:c r="A29" s="40" t="str">
        <x:v>B028-e4f8b4</x:v>
      </x:c>
      <x:c r="B29" s="41" t="str">
        <x:v>t01-pe-h01</x:v>
      </x:c>
      <x:c r="C29" s="41" t="str">
        <x:v>The clinician links Participant E's caregiving history and constricted sense of the future with E's two serious partners both having anchor partners, then asks what E may want for E's own future.</x:v>
      </x:c>
      <x:c r="D29" s="41" t="str">
        <x:v>Participant E begins to wonder whether E may want an anchor partner or to live with a partner someday, despite not previously imagining cohabitation.</x:v>
      </x:c>
      <x:c r="E29" s="41" t="str">
        <x:v>E might say, "I think I have spent so much time caring for other people and fitting into the futures they already have that I am not sure what I am allowed to want. I do want more security and continuity, maybe a shared home or a clearer place in someone's future, but I am afraid that saying that means asking people to choose or disappoint someone else."</x:v>
      </x:c>
      <x:c r="F29" s="41" t="n">
        <x:v>0</x:v>
      </x:c>
      <x:c r="G29" s="41" t="n">
        <x:v>0</x:v>
      </x:c>
      <x:c r="H29" s="41" t="n">
        <x:v>0</x:v>
      </x:c>
      <x:c r="I29" s="41" t="n">
        <x:v>2</x:v>
      </x:c>
      <x:c r="J29" s="41" t="n">
        <x:v>0</x:v>
      </x:c>
      <x:c r="K29" s="41" t="n">
        <x:v>2</x:v>
      </x:c>
      <x:c r="L29" s="47" t="n">
        <x:f>SUM(F29:K29)</x:f>
        <x:v>4</x:v>
      </x:c>
      <x:c r="M29" s="41" t="str">
        <x:v>accept</x:v>
      </x:c>
      <x:c r="N29" s="50" t="n">
        <x:v>0.82</x:v>
      </x:c>
      <x:c r="O29" s="42"/>
    </x:row>
    <x:row r="30">
      <x:c r="A30" s="40" t="str">
        <x:v>B029-0c1b4a</x:v>
      </x:c>
      <x:c r="B30" s="41" t="str">
        <x:v>t01-pe-h03</x:v>
      </x:c>
      <x:c r="C30" s="41" t="str">
        <x:v>Participant E considers a plausible future in which Participants C and D move to another city while C pursues career and personal needs.</x:v>
      </x:c>
      <x:c r="D30" s="41" t="str">
        <x:v>Participant E says it would feel wrong to veto C and D's move and acknowledges C's career and needs, even while the hypothetical exposes E's insecurity.</x:v>
      </x:c>
      <x:c r="E30" s="41" t="str">
        <x:v>E might say, "I understand why you would want to do this, but I need to know what it means for me and for my relationship with D. If your plans can change our access and future together, I can't just assume I will still have a secure place. I need us to talk concretely about that," while possibly becoming overwhelmed or pulling back if no clear plan is offered.</x:v>
      </x:c>
      <x:c r="F30" s="41" t="n">
        <x:v>1</x:v>
      </x:c>
      <x:c r="G30" s="41" t="n">
        <x:v>1</x:v>
      </x:c>
      <x:c r="H30" s="41" t="n">
        <x:v>0</x:v>
      </x:c>
      <x:c r="I30" s="41" t="n">
        <x:v>0</x:v>
      </x:c>
      <x:c r="J30" s="41" t="n">
        <x:v>0</x:v>
      </x:c>
      <x:c r="K30" s="41" t="n">
        <x:v>0</x:v>
      </x:c>
      <x:c r="L30" s="47" t="n">
        <x:f>SUM(F30:K30)</x:f>
        <x:v>2</x:v>
      </x:c>
      <x:c r="M30" s="41" t="str">
        <x:v>accept</x:v>
      </x:c>
      <x:c r="N30" s="50" t="n">
        <x:v>0.79</x:v>
      </x:c>
      <x:c r="O30" s="42"/>
    </x:row>
    <x:row r="31">
      <x:c r="A31" s="40" t="str">
        <x:v>B030-551a12</x:v>
      </x:c>
      <x:c r="B31" s="41" t="str">
        <x:v>t01-pe-h02</x:v>
      </x:c>
      <x:c r="C31" s="41" t="str">
        <x:v>E's other anchor partner offers a simple choice: E can invite Participant D to a party, or the anchor partner can do it. E must decide how to respond before the event.</x:v>
      </x:c>
      <x:c r="D31" s="41" t="str">
        <x:v>Participant E panics internally about doing the invitation incorrectly and disappointing both partners, then freezes and takes no action before the party.</x:v>
      </x:c>
      <x:c r="E31" s="41" t="str">
        <x:v>E might pause and say something like, "I’m not sure—I don’t want either of you to feel awkward or put in a difficult position. Maybe you should invite D," or ask for reassurance before deciding. E could ultimately defer to the anchor partner, though E may directly invite D if concern about personal agency outweighs the wish to avoid tension.</x:v>
      </x:c>
      <x:c r="F31" s="41" t="n">
        <x:v>1</x:v>
      </x:c>
      <x:c r="G31" s="41" t="n">
        <x:v>1</x:v>
      </x:c>
      <x:c r="H31" s="41" t="n">
        <x:v>0</x:v>
      </x:c>
      <x:c r="I31" s="41" t="n">
        <x:v>2</x:v>
      </x:c>
      <x:c r="J31" s="41" t="n">
        <x:v>2</x:v>
      </x:c>
      <x:c r="K31" s="41" t="n">
        <x:v>0</x:v>
      </x:c>
      <x:c r="L31" s="47" t="n">
        <x:f>SUM(F31:K31)</x:f>
        <x:v>6</x:v>
      </x:c>
      <x:c r="M31" s="41" t="str">
        <x:v>accept</x:v>
      </x:c>
      <x:c r="N31" s="50" t="n">
        <x:v>0.75</x:v>
      </x:c>
      <x:c r="O31" s="42"/>
    </x:row>
    <x:row r="32">
      <x:c r="A32" s="40" t="str">
        <x:v>B031-881fdf</x:v>
      </x:c>
      <x:c r="B32" s="41" t="str">
        <x:v>t01-pe-h04</x:v>
      </x:c>
      <x:c r="C32" s="41" t="str">
        <x:v>The clinician suggests that non-hierarchical ideology can obscure feelings and that the relationship's words and practical actions have not always provided the same expectations.</x:v>
      </x:c>
      <x:c r="D32" s="41" t="str">
        <x:v>Participant E recognises that E struggled with discrepancies between words and actions but also relied on Participants C and D to tell E what the relationship would be and what E should expect.</x:v>
      </x:c>
      <x:c r="E32" s="41" t="str">
        <x:v>E might say, “I think I learned what to expect less from the words about equality and more from what was actually possible—when I could see D, how decisions were made, and whether there was room for continuity. I may have kept adjusting my expectations instead of saying clearly what I needed.”</x:v>
      </x:c>
      <x:c r="F32" s="41" t="n">
        <x:v>0</x:v>
      </x:c>
      <x:c r="G32" s="41" t="n">
        <x:v>0</x:v>
      </x:c>
      <x:c r="H32" s="41" t="n">
        <x:v>0</x:v>
      </x:c>
      <x:c r="I32" s="41" t="n">
        <x:v>2</x:v>
      </x:c>
      <x:c r="J32" s="41" t="n">
        <x:v>1</x:v>
      </x:c>
      <x:c r="K32" s="41" t="n">
        <x:v>0</x:v>
      </x:c>
      <x:c r="L32" s="47" t="n">
        <x:f>SUM(F32:K32)</x:f>
        <x:v>3</x:v>
      </x:c>
      <x:c r="M32" s="41" t="str">
        <x:v>accept</x:v>
      </x:c>
      <x:c r="N32" s="50" t="n">
        <x:v>0.82</x:v>
      </x:c>
      <x:c r="O32" s="42"/>
    </x:row>
    <x:row r="33">
      <x:c r="A33" s="40" t="str">
        <x:v>B032-a46b6b</x:v>
      </x:c>
      <x:c r="B33" s="41" t="str">
        <x:v>t01-pe-h03</x:v>
      </x:c>
      <x:c r="C33" s="41" t="str">
        <x:v>Participant E considers a plausible future in which Participants C and D move to another city while C pursues career and personal needs.</x:v>
      </x:c>
      <x:c r="D33" s="41" t="str">
        <x:v>Participant E says it would feel wrong to veto C and D's move and acknowledges C's career and needs, even while the hypothetical exposes E's insecurity.</x:v>
      </x:c>
      <x:c r="E33" s="41" t="str">
        <x:v>E might say that they understand why C and D would want to move, but that it makes them afraid of becoming even less central and unable to plan a future with D. E would likely ask what the move means for their time, status and decision-making role, rather than simply forbidding it.</x:v>
      </x:c>
      <x:c r="F33" s="41" t="n">
        <x:v>2</x:v>
      </x:c>
      <x:c r="G33" s="41" t="n">
        <x:v>1</x:v>
      </x:c>
      <x:c r="H33" s="41" t="n">
        <x:v>0</x:v>
      </x:c>
      <x:c r="I33" s="41" t="n">
        <x:v>1</x:v>
      </x:c>
      <x:c r="J33" s="41" t="n">
        <x:v>0</x:v>
      </x:c>
      <x:c r="K33" s="41" t="n">
        <x:v>1</x:v>
      </x:c>
      <x:c r="L33" s="47" t="n">
        <x:f>SUM(F33:K33)</x:f>
        <x:v>5</x:v>
      </x:c>
      <x:c r="M33" s="41" t="str">
        <x:v>accept</x:v>
      </x:c>
      <x:c r="N33" s="50" t="n">
        <x:v>0.77</x:v>
      </x:c>
      <x:c r="O33" s="42"/>
    </x:row>
    <x:row r="34">
      <x:c r="A34" s="40" t="str">
        <x:v>B033-bfe4dd</x:v>
      </x:c>
      <x:c r="B34" s="41" t="str">
        <x:v>t01-pe-h04</x:v>
      </x:c>
      <x:c r="C34" s="41" t="str">
        <x:v>The clinician suggests that non-hierarchical ideology can obscure feelings and that the relationship's words and practical actions have not always provided the same expectations.</x:v>
      </x:c>
      <x:c r="D34" s="41" t="str">
        <x:v>Participant E recognises that E struggled with discrepancies between words and actions but also relied on Participants C and D to tell E what the relationship would be and what E should expect.</x:v>
      </x:c>
      <x:c r="E34" s="41" t="str">
        <x:v>E might say, “I think I learned what to expect from what was actually possible—who had access, whose plans came first, and what decisions I could influence—not only from the language about being non-hierarchical.”</x:v>
      </x:c>
      <x:c r="F34" s="41" t="n">
        <x:v>1</x:v>
      </x:c>
      <x:c r="G34" s="41" t="n">
        <x:v>0</x:v>
      </x:c>
      <x:c r="H34" s="41" t="n">
        <x:v>0</x:v>
      </x:c>
      <x:c r="I34" s="41" t="n">
        <x:v>2</x:v>
      </x:c>
      <x:c r="J34" s="41" t="n">
        <x:v>1</x:v>
      </x:c>
      <x:c r="K34" s="41" t="n">
        <x:v>0</x:v>
      </x:c>
      <x:c r="L34" s="47" t="n">
        <x:f>SUM(F34:K34)</x:f>
        <x:v>4</x:v>
      </x:c>
      <x:c r="M34" s="41" t="str">
        <x:v>accept</x:v>
      </x:c>
      <x:c r="N34" s="50" t="n">
        <x:v>0.77</x:v>
      </x:c>
      <x:c r="O34" s="42"/>
    </x:row>
    <x:row r="35">
      <x:c r="A35" s="40" t="str">
        <x:v>B034-763f44</x:v>
      </x:c>
      <x:c r="B35" s="41" t="str">
        <x:v>t01-pe-h02</x:v>
      </x:c>
      <x:c r="C35" s="41" t="str">
        <x:v>E's other anchor partner offers a simple choice: E can invite Participant D to a party, or the anchor partner can do it. E must decide how to respond before the event.</x:v>
      </x:c>
      <x:c r="D35" s="41" t="str">
        <x:v>Participant E panics internally about doing the invitation incorrectly and disappointing both partners, then freezes and takes no action before the party.</x:v>
      </x:c>
      <x:c r="E35" s="41" t="str">
        <x:v>E might say something like, “I’m not sure—I don’t want to make this awkward or put either of you in a difficult position. Maybe you should invite D,” possibly after delaying or asking what the anchor partner prefers.</x:v>
      </x:c>
      <x:c r="F35" s="41" t="n">
        <x:v>1</x:v>
      </x:c>
      <x:c r="G35" s="41" t="n">
        <x:v>1</x:v>
      </x:c>
      <x:c r="H35" s="41" t="n">
        <x:v>0</x:v>
      </x:c>
      <x:c r="I35" s="41" t="n">
        <x:v>0</x:v>
      </x:c>
      <x:c r="J35" s="41" t="n">
        <x:v>2</x:v>
      </x:c>
      <x:c r="K35" s="41" t="n">
        <x:v>0</x:v>
      </x:c>
      <x:c r="L35" s="47" t="n">
        <x:f>SUM(F35:K35)</x:f>
        <x:v>4</x:v>
      </x:c>
      <x:c r="M35" s="41" t="str">
        <x:v>accept</x:v>
      </x:c>
      <x:c r="N35" s="50" t="n">
        <x:v>0.82</x:v>
      </x:c>
      <x:c r="O35" s="42"/>
    </x:row>
    <x:row r="36">
      <x:c r="A36" s="40" t="str">
        <x:v>B035-1afd54</x:v>
      </x:c>
      <x:c r="B36" s="41" t="str">
        <x:v>t01-pe-h01</x:v>
      </x:c>
      <x:c r="C36" s="41" t="str">
        <x:v>The clinician links Participant E's caregiving history and constricted sense of the future with E's two serious partners both having anchor partners, then asks what E may want for E's own future.</x:v>
      </x:c>
      <x:c r="D36" s="41" t="str">
        <x:v>Participant E begins to wonder whether E may want an anchor partner or to live with a partner someday, despite not previously imagining cohabitation.</x:v>
      </x:c>
      <x:c r="E36" s="41" t="str">
        <x:v>E may pause and say something like, "I don't really know how to imagine that. I've spent so much time caring for other people, and both of you already have an anchor. I think I want a future where I have some security and say, but I don't know what that would look like or whether there is room for it."</x:v>
      </x:c>
      <x:c r="F36" s="41" t="n">
        <x:v>1</x:v>
      </x:c>
      <x:c r="G36" s="41" t="n">
        <x:v>1</x:v>
      </x:c>
      <x:c r="H36" s="41" t="n">
        <x:v>2</x:v>
      </x:c>
      <x:c r="I36" s="41" t="n">
        <x:v>2</x:v>
      </x:c>
      <x:c r="J36" s="41" t="n">
        <x:v>0</x:v>
      </x:c>
      <x:c r="K36" s="41" t="n">
        <x:v>0</x:v>
      </x:c>
      <x:c r="L36" s="47" t="n">
        <x:f>SUM(F36:K36)</x:f>
        <x:v>6</x:v>
      </x:c>
      <x:c r="M36" s="41" t="str">
        <x:v>accept</x:v>
      </x:c>
      <x:c r="N36" s="50" t="n">
        <x:v>0.75</x:v>
      </x:c>
      <x:c r="O36" s="42"/>
    </x:row>
    <x:row r="37">
      <x:c r="A37" s="40" t="str">
        <x:v>B036-7bdf40</x:v>
      </x:c>
      <x:c r="B37" s="41" t="str">
        <x:v>t01-pe-h02</x:v>
      </x:c>
      <x:c r="C37" s="41" t="str">
        <x:v>E's other anchor partner offers a simple choice: E can invite Participant D to a party, or the anchor partner can do it. E must decide how to respond before the event.</x:v>
      </x:c>
      <x:c r="D37" s="41" t="str">
        <x:v>Participant E panics internally about doing the invitation incorrectly and disappointing both partners, then freezes and takes no action before the party.</x:v>
      </x:c>
      <x:c r="E37" s="41" t="str">
        <x:v>E might say, "I can invite D—I’d like to—but I want to check that you really mean you’re okay with that," and then likely send the invitation if reassured.</x:v>
      </x:c>
      <x:c r="F37" s="41" t="n">
        <x:v>1</x:v>
      </x:c>
      <x:c r="G37" s="41" t="n">
        <x:v>0</x:v>
      </x:c>
      <x:c r="H37" s="41" t="n">
        <x:v>0</x:v>
      </x:c>
      <x:c r="I37" s="41" t="n">
        <x:v>2</x:v>
      </x:c>
      <x:c r="J37" s="41" t="n">
        <x:v>2</x:v>
      </x:c>
      <x:c r="K37" s="41" t="n">
        <x:v>0</x:v>
      </x:c>
      <x:c r="L37" s="47" t="n">
        <x:f>SUM(F37:K37)</x:f>
        <x:v>5</x:v>
      </x:c>
      <x:c r="M37" s="41" t="str">
        <x:v>accept</x:v>
      </x:c>
      <x:c r="N37" s="50" t="n">
        <x:v>0.8</x:v>
      </x:c>
      <x:c r="O37" s="42"/>
    </x:row>
    <x:row r="38">
      <x:c r="A38" s="40" t="str">
        <x:v>B037-1c67ef</x:v>
      </x:c>
      <x:c r="B38" s="41" t="str">
        <x:v>t01-pe-h02</x:v>
      </x:c>
      <x:c r="C38" s="41" t="str">
        <x:v>E's other anchor partner offers a simple choice: E can invite Participant D to a party, or the anchor partner can do it. E must decide how to respond before the event.</x:v>
      </x:c>
      <x:c r="D38" s="41" t="str">
        <x:v>Participant E panics internally about doing the invitation incorrectly and disappointing both partners, then freezes and takes no action before the party.</x:v>
      </x:c>
      <x:c r="E38" s="41" t="str">
        <x:v>E would likely say something like, “I’ll invite D,” and contact D directly, perhaps adding a brief explanation that it matters to E to handle their invitation themselves.</x:v>
      </x:c>
      <x:c r="F38" s="41" t="n">
        <x:v>1</x:v>
      </x:c>
      <x:c r="G38" s="41" t="n">
        <x:v>0</x:v>
      </x:c>
      <x:c r="H38" s="41" t="n">
        <x:v>0</x:v>
      </x:c>
      <x:c r="I38" s="41" t="n">
        <x:v>2</x:v>
      </x:c>
      <x:c r="J38" s="41" t="n">
        <x:v>1</x:v>
      </x:c>
      <x:c r="K38" s="41" t="n">
        <x:v>0</x:v>
      </x:c>
      <x:c r="L38" s="47" t="n">
        <x:f>SUM(F38:K38)</x:f>
        <x:v>4</x:v>
      </x:c>
      <x:c r="M38" s="41" t="str">
        <x:v>accept</x:v>
      </x:c>
      <x:c r="N38" s="50" t="n">
        <x:v>0.77</x:v>
      </x:c>
      <x:c r="O38" s="42"/>
    </x:row>
    <x:row r="39">
      <x:c r="A39" s="40" t="str">
        <x:v>B038-765f09</x:v>
      </x:c>
      <x:c r="B39" s="41" t="str">
        <x:v>t01-pe-h04</x:v>
      </x:c>
      <x:c r="C39" s="41" t="str">
        <x:v>The clinician suggests that non-hierarchical ideology can obscure feelings and that the relationship's words and practical actions have not always provided the same expectations.</x:v>
      </x:c>
      <x:c r="D39" s="41" t="str">
        <x:v>Participant E recognises that E struggled with discrepancies between words and actions but also relied on Participants C and D to tell E what the relationship would be and what E should expect.</x:v>
      </x:c>
      <x:c r="E39" s="41" t="str">
        <x:v>E might say, “I learned what to expect from what actually happened—not from the words. Plans could change when C was available, I couldn’t openly be represented, and I had to ask for access, so I learned that I was secondary even when nobody called it that.”</x:v>
      </x:c>
      <x:c r="F39" s="41" t="n">
        <x:v>0</x:v>
      </x:c>
      <x:c r="G39" s="41" t="n">
        <x:v>1</x:v>
      </x:c>
      <x:c r="H39" s="41" t="n">
        <x:v>1</x:v>
      </x:c>
      <x:c r="I39" s="41" t="n">
        <x:v>1</x:v>
      </x:c>
      <x:c r="J39" s="41" t="n">
        <x:v>0</x:v>
      </x:c>
      <x:c r="K39" s="41" t="n">
        <x:v>0</x:v>
      </x:c>
      <x:c r="L39" s="47" t="n">
        <x:f>SUM(F39:K39)</x:f>
        <x:v>3</x:v>
      </x:c>
      <x:c r="M39" s="41" t="str">
        <x:v>accept</x:v>
      </x:c>
      <x:c r="N39" s="50" t="n">
        <x:v>0.75</x:v>
      </x:c>
      <x:c r="O39" s="42"/>
    </x:row>
    <x:row r="40">
      <x:c r="A40" s="40" t="str">
        <x:v>B039-82f32a</x:v>
      </x:c>
      <x:c r="B40" s="41" t="str">
        <x:v>t01-pe-h01</x:v>
      </x:c>
      <x:c r="C40" s="41" t="str">
        <x:v>The clinician links Participant E's caregiving history and constricted sense of the future with E's two serious partners both having anchor partners, then asks what E may want for E's own future.</x:v>
      </x:c>
      <x:c r="D40" s="41" t="str">
        <x:v>Participant E begins to wonder whether E may want an anchor partner or to live with a partner someday, despite not previously imagining cohabitation.</x:v>
      </x:c>
      <x:c r="E40" s="41" t="str">
        <x:v>E may pause and say that they are not sure what they want because they have spent so long caregiving and fitting around other people's relationships, then cautiously add that they want a future in which they can plan, have a recognised place, and make decisions about their own life rather than depending on C and D's anchors.</x:v>
      </x:c>
      <x:c r="F40" s="41" t="n">
        <x:v>1</x:v>
      </x:c>
      <x:c r="G40" s="41" t="n">
        <x:v>1</x:v>
      </x:c>
      <x:c r="H40" s="41" t="n">
        <x:v>1</x:v>
      </x:c>
      <x:c r="I40" s="41" t="n">
        <x:v>1</x:v>
      </x:c>
      <x:c r="J40" s="41" t="n">
        <x:v>0</x:v>
      </x:c>
      <x:c r="K40" s="41" t="n">
        <x:v>1</x:v>
      </x:c>
      <x:c r="L40" s="47" t="n">
        <x:f>SUM(F40:K40)</x:f>
        <x:v>5</x:v>
      </x:c>
      <x:c r="M40" s="41" t="str">
        <x:v>accept</x:v>
      </x:c>
      <x:c r="N40" s="50" t="n">
        <x:v>0.68</x:v>
      </x:c>
      <x:c r="O40" s="42"/>
    </x:row>
    <x:row r="41">
      <x:c r="A41" s="40" t="str">
        <x:v>B040-2b9da6</x:v>
      </x:c>
      <x:c r="B41" s="41" t="str">
        <x:v>t01-pe-h03</x:v>
      </x:c>
      <x:c r="C41" s="41" t="str">
        <x:v>Participant E considers a plausible future in which Participants C and D move to another city while C pursues career and personal needs.</x:v>
      </x:c>
      <x:c r="D41" s="41" t="str">
        <x:v>Participant E says it would feel wrong to veto C and D's move and acknowledges C's career and needs, even while the hypothetical exposes E's insecurity.</x:v>
      </x:c>
      <x:c r="E41" s="41" t="str">
        <x:v>E might say, "I don't want to stop you from going, but I need to be honest that this makes me feel very insecure. What would our relationship and regular contact look like if you moved, and would I have any say in planning that?" E may then retreat or defer if the conversation seems likely to disappoint them, rather than issue a firm veto.</x:v>
      </x:c>
      <x:c r="F41" s="41" t="n">
        <x:v>2</x:v>
      </x:c>
      <x:c r="G41" s="41" t="n">
        <x:v>0</x:v>
      </x:c>
      <x:c r="H41" s="41" t="n">
        <x:v>0</x:v>
      </x:c>
      <x:c r="I41" s="41" t="n">
        <x:v>1</x:v>
      </x:c>
      <x:c r="J41" s="41" t="n">
        <x:v>0</x:v>
      </x:c>
      <x:c r="K41" s="41" t="n">
        <x:v>0</x:v>
      </x:c>
      <x:c r="L41" s="47" t="n">
        <x:f>SUM(F41:K41)</x:f>
        <x:v>3</x:v>
      </x:c>
      <x:c r="M41" s="41" t="str">
        <x:v>accept</x:v>
      </x:c>
      <x:c r="N41" s="50" t="n">
        <x:v>0.82</x:v>
      </x:c>
      <x:c r="O41" s="42"/>
    </x:row>
    <x:row r="42">
      <x:c r="A42" s="40" t="str">
        <x:v>B041-653b72</x:v>
      </x:c>
      <x:c r="B42" s="41" t="str">
        <x:v>t01-pe-h02</x:v>
      </x:c>
      <x:c r="C42" s="41" t="str">
        <x:v>E's other anchor partner offers a simple choice: E can invite Participant D to a party, or the anchor partner can do it. E must decide how to respond before the event.</x:v>
      </x:c>
      <x:c r="D42" s="41" t="str">
        <x:v>Participant E panics internally about doing the invitation incorrectly and disappointing both partners, then freezes and takes no action before the party.</x:v>
      </x:c>
      <x:c r="E42" s="41" t="str">
        <x:v>E would probably say something like, “I’ll invite D myself,” possibly adding, “I don’t want this to be decided for me,” and then contact D directly rather than have the anchor partner do it.</x:v>
      </x:c>
      <x:c r="F42" s="41" t="n">
        <x:v>1</x:v>
      </x:c>
      <x:c r="G42" s="41" t="n">
        <x:v>0</x:v>
      </x:c>
      <x:c r="H42" s="41" t="n">
        <x:v>0</x:v>
      </x:c>
      <x:c r="I42" s="41" t="n">
        <x:v>1</x:v>
      </x:c>
      <x:c r="J42" s="41" t="n">
        <x:v>2</x:v>
      </x:c>
      <x:c r="K42" s="41" t="n">
        <x:v>1</x:v>
      </x:c>
      <x:c r="L42" s="47" t="n">
        <x:f>SUM(F42:K42)</x:f>
        <x:v>5</x:v>
      </x:c>
      <x:c r="M42" s="41" t="str">
        <x:v>accept</x:v>
      </x:c>
      <x:c r="N42" s="50" t="n">
        <x:v>0.73</x:v>
      </x:c>
      <x:c r="O42" s="42"/>
    </x:row>
    <x:row r="43">
      <x:c r="A43" s="40" t="str">
        <x:v>B042-582e4d</x:v>
      </x:c>
      <x:c r="B43" s="41" t="str">
        <x:v>t01-pe-h04</x:v>
      </x:c>
      <x:c r="C43" s="41" t="str">
        <x:v>The clinician suggests that non-hierarchical ideology can obscure feelings and that the relationship's words and practical actions have not always provided the same expectations.</x:v>
      </x:c>
      <x:c r="D43" s="41" t="str">
        <x:v>Participant E recognises that E struggled with discrepancies between words and actions but also relied on Participants C and D to tell E what the relationship would be and what E should expect.</x:v>
      </x:c>
      <x:c r="E43" s="41" t="str">
        <x:v>E might say, "I think I learned what to expect from what actually happened—not just from the words. When plans could disappear, or I could not be acknowledged openly, I learned that my place was less secure and that I could not really plan a future with D."</x:v>
      </x:c>
      <x:c r="F43" s="41" t="n">
        <x:v>0</x:v>
      </x:c>
      <x:c r="G43" s="41" t="n">
        <x:v>0</x:v>
      </x:c>
      <x:c r="H43" s="41" t="n">
        <x:v>0</x:v>
      </x:c>
      <x:c r="I43" s="41" t="n">
        <x:v>1</x:v>
      </x:c>
      <x:c r="J43" s="41" t="n">
        <x:v>0</x:v>
      </x:c>
      <x:c r="K43" s="41" t="n">
        <x:v>1</x:v>
      </x:c>
      <x:c r="L43" s="47" t="n">
        <x:f>SUM(F43:K43)</x:f>
        <x:v>2</x:v>
      </x:c>
      <x:c r="M43" s="41" t="str">
        <x:v>accept</x:v>
      </x:c>
      <x:c r="N43" s="50" t="n">
        <x:v>0.79</x:v>
      </x:c>
      <x:c r="O43" s="42"/>
    </x:row>
    <x:row r="44">
      <x:c r="A44" s="40" t="str">
        <x:v>B043-443375</x:v>
      </x:c>
      <x:c r="B44" s="41" t="str">
        <x:v>t01-pe-h03</x:v>
      </x:c>
      <x:c r="C44" s="41" t="str">
        <x:v>Participant E considers a plausible future in which Participants C and D move to another city while C pursues career and personal needs.</x:v>
      </x:c>
      <x:c r="D44" s="41" t="str">
        <x:v>Participant E says it would feel wrong to veto C and D's move and acknowledges C's career and needs, even while the hypothetical exposes E's insecurity.</x:v>
      </x:c>
      <x:c r="E44" s="41" t="str">
        <x:v>E might say that they cannot simply accommodate the move without knowing what it means for their relationship with D, ask how decisions and time will work in practice, and state that another relocation could make them feel even more secondary. E may request a meaningful say or concrete commitments, while stopping short of a clear veto unless the plans appear to eliminate a viable future with D.</x:v>
      </x:c>
      <x:c r="F44" s="41" t="n">
        <x:v>2</x:v>
      </x:c>
      <x:c r="G44" s="41" t="n">
        <x:v>0</x:v>
      </x:c>
      <x:c r="H44" s="41" t="n">
        <x:v>1</x:v>
      </x:c>
      <x:c r="I44" s="41" t="n">
        <x:v>0</x:v>
      </x:c>
      <x:c r="J44" s="41" t="n">
        <x:v>0</x:v>
      </x:c>
      <x:c r="K44" s="41" t="n">
        <x:v>0</x:v>
      </x:c>
      <x:c r="L44" s="47" t="n">
        <x:f>SUM(F44:K44)</x:f>
        <x:v>3</x:v>
      </x:c>
      <x:c r="M44" s="41" t="str">
        <x:v>accept</x:v>
      </x:c>
      <x:c r="N44" s="50" t="n">
        <x:v>0.79</x:v>
      </x:c>
      <x:c r="O44" s="42"/>
    </x:row>
    <x:row r="45">
      <x:c r="A45" s="40" t="str">
        <x:v>B044-973b0a</x:v>
      </x:c>
      <x:c r="B45" s="41" t="str">
        <x:v>t01-pe-h04</x:v>
      </x:c>
      <x:c r="C45" s="41" t="str">
        <x:v>The clinician suggests that non-hierarchical ideology can obscure feelings and that the relationship's words and practical actions have not always provided the same expectations.</x:v>
      </x:c>
      <x:c r="D45" s="41" t="str">
        <x:v>Participant E recognises that E struggled with discrepancies between words and actions but also relied on Participants C and D to tell E what the relationship would be and what E should expect.</x:v>
      </x:c>
      <x:c r="E45" s="41" t="str">
        <x:v>E might say, "I learned what to expect from what happened in practice—whether plans held, whether I could be acknowledged, and whether your availability depended on C. The words suggested equality, but the arrangements taught me to expect uncertainty and to prepare to come second."</x:v>
      </x:c>
      <x:c r="F45" s="41" t="n">
        <x:v>0</x:v>
      </x:c>
      <x:c r="G45" s="41" t="n">
        <x:v>0</x:v>
      </x:c>
      <x:c r="H45" s="41" t="n">
        <x:v>0</x:v>
      </x:c>
      <x:c r="I45" s="41" t="n">
        <x:v>0</x:v>
      </x:c>
      <x:c r="J45" s="41" t="n">
        <x:v>0</x:v>
      </x:c>
      <x:c r="K45" s="41" t="n">
        <x:v>1</x:v>
      </x:c>
      <x:c r="L45" s="47" t="n">
        <x:f>SUM(F45:K45)</x:f>
        <x:v>1</x:v>
      </x:c>
      <x:c r="M45" s="41" t="str">
        <x:v>accept</x:v>
      </x:c>
      <x:c r="N45" s="50" t="n">
        <x:v>0.81</x:v>
      </x:c>
      <x:c r="O45" s="42"/>
    </x:row>
    <x:row r="46">
      <x:c r="A46" s="40" t="str">
        <x:v>B045-3d7118</x:v>
      </x:c>
      <x:c r="B46" s="41" t="str">
        <x:v>t01-pe-h04</x:v>
      </x:c>
      <x:c r="C46" s="41" t="str">
        <x:v>The clinician suggests that non-hierarchical ideology can obscure feelings and that the relationship's words and practical actions have not always provided the same expectations.</x:v>
      </x:c>
      <x:c r="D46" s="41" t="str">
        <x:v>Participant E recognises that E struggled with discrepancies between words and actions but also relied on Participants C and D to tell E what the relationship would be and what E should expect.</x:v>
      </x:c>
      <x:c r="E46" s="41" t="str">
        <x:v>E might say, “I learned what to expect from what actually happened: plans could change when C wanted time with D, I could not be openly represented, and I had to ask for access. So even if the words said we were non-hierarchical, the practical expectation was that I was secondary.”</x:v>
      </x:c>
      <x:c r="F46" s="41" t="n">
        <x:v>0</x:v>
      </x:c>
      <x:c r="G46" s="41" t="n">
        <x:v>1</x:v>
      </x:c>
      <x:c r="H46" s="41" t="n">
        <x:v>0</x:v>
      </x:c>
      <x:c r="I46" s="41" t="n">
        <x:v>2</x:v>
      </x:c>
      <x:c r="J46" s="41" t="n">
        <x:v>0</x:v>
      </x:c>
      <x:c r="K46" s="41" t="n">
        <x:v>0</x:v>
      </x:c>
      <x:c r="L46" s="47" t="n">
        <x:f>SUM(F46:K46)</x:f>
        <x:v>3</x:v>
      </x:c>
      <x:c r="M46" s="41" t="str">
        <x:v>accept</x:v>
      </x:c>
      <x:c r="N46" s="50" t="n">
        <x:v>0.82</x:v>
      </x:c>
      <x:c r="O46" s="42"/>
    </x:row>
    <x:row r="47">
      <x:c r="A47" s="40" t="str">
        <x:v>B046-67778d</x:v>
      </x:c>
      <x:c r="B47" s="41" t="str">
        <x:v>t01-pe-h03</x:v>
      </x:c>
      <x:c r="C47" s="41" t="str">
        <x:v>Participant E considers a plausible future in which Participants C and D move to another city while C pursues career and personal needs.</x:v>
      </x:c>
      <x:c r="D47" s="41" t="str">
        <x:v>Participant E says it would feel wrong to veto C and D's move and acknowledges C's career and needs, even while the hypothetical exposes E's insecurity.</x:v>
      </x:c>
      <x:c r="E47" s="41" t="str">
        <x:v>E might say, in effect, “I understand why you might want to move, but I’m scared about what that means for us. I need to know whether I’ll still have a real place in your life and whether I get any say in planning for that.” E may ask for concrete arrangements rather than directly vetoing the move, though panic could lead to hesitation or withdrawing before returning to the conversation.</x:v>
      </x:c>
      <x:c r="F47" s="41" t="n">
        <x:v>1</x:v>
      </x:c>
      <x:c r="G47" s="41" t="n">
        <x:v>0</x:v>
      </x:c>
      <x:c r="H47" s="41" t="n">
        <x:v>0</x:v>
      </x:c>
      <x:c r="I47" s="41" t="n">
        <x:v>1</x:v>
      </x:c>
      <x:c r="J47" s="41" t="n">
        <x:v>0</x:v>
      </x:c>
      <x:c r="K47" s="41" t="n">
        <x:v>1</x:v>
      </x:c>
      <x:c r="L47" s="47" t="n">
        <x:f>SUM(F47:K47)</x:f>
        <x:v>3</x:v>
      </x:c>
      <x:c r="M47" s="41" t="str">
        <x:v>accept</x:v>
      </x:c>
      <x:c r="N47" s="50" t="n">
        <x:v>0.75</x:v>
      </x:c>
      <x:c r="O47" s="42"/>
    </x:row>
    <x:row r="48">
      <x:c r="A48" s="40" t="str">
        <x:v>B047-99abb1</x:v>
      </x:c>
      <x:c r="B48" s="41" t="str">
        <x:v>t01-pe-h01</x:v>
      </x:c>
      <x:c r="C48" s="41" t="str">
        <x:v>The clinician links Participant E's caregiving history and constricted sense of the future with E's two serious partners both having anchor partners, then asks what E may want for E's own future.</x:v>
      </x:c>
      <x:c r="D48" s="41" t="str">
        <x:v>Participant E begins to wonder whether E may want an anchor partner or to live with a partner someday, despite not previously imagining cohabitation.</x:v>
      </x:c>
      <x:c r="E48" s="41" t="str">
        <x:v>E might pause and say, "I’m not sure I know how to picture my own future. I’ve spent a lot of time fitting around other people’s anchors and needs, but I do want something more secure and something I can actually plan for. I’m afraid that wanting that means someone else feels disappointed."</x:v>
      </x:c>
      <x:c r="F48" s="41" t="n">
        <x:v>1</x:v>
      </x:c>
      <x:c r="G48" s="41" t="n">
        <x:v>0</x:v>
      </x:c>
      <x:c r="H48" s="41" t="n">
        <x:v>2</x:v>
      </x:c>
      <x:c r="I48" s="41" t="n">
        <x:v>2</x:v>
      </x:c>
      <x:c r="J48" s="41" t="n">
        <x:v>1</x:v>
      </x:c>
      <x:c r="K48" s="41" t="n">
        <x:v>1</x:v>
      </x:c>
      <x:c r="L48" s="47" t="n">
        <x:f>SUM(F48:K48)</x:f>
        <x:v>7</x:v>
      </x:c>
      <x:c r="M48" s="41" t="str">
        <x:v>accept</x:v>
      </x:c>
      <x:c r="N48" s="50" t="n">
        <x:v>0.71</x:v>
      </x:c>
      <x:c r="O48" s="42"/>
    </x:row>
    <x:row r="49">
      <x:c r="A49" s="40" t="str">
        <x:v>B048-0dec98</x:v>
      </x:c>
      <x:c r="B49" s="41" t="str">
        <x:v>t01-pe-h02</x:v>
      </x:c>
      <x:c r="C49" s="41" t="str">
        <x:v>E's other anchor partner offers a simple choice: E can invite Participant D to a party, or the anchor partner can do it. E must decide how to respond before the event.</x:v>
      </x:c>
      <x:c r="D49" s="41" t="str">
        <x:v>Participant E panics internally about doing the invitation incorrectly and disappointing both partners, then freezes and takes no action before the party.</x:v>
      </x:c>
      <x:c r="E49" s="41" t="str">
        <x:v>E might pause and say something like, “I’m not sure—I don’t want to make the wrong choice or have D feel excluded. Do you want to invite D, or is there a reason you’re asking me to?” If unable to resolve the uncertainty, E may let the anchor partner handle the invitation.</x:v>
      </x:c>
      <x:c r="F49" s="41" t="n">
        <x:v>1</x:v>
      </x:c>
      <x:c r="G49" s="41" t="n">
        <x:v>1</x:v>
      </x:c>
      <x:c r="H49" s="41" t="n">
        <x:v>1</x:v>
      </x:c>
      <x:c r="I49" s="41" t="n">
        <x:v>2</x:v>
      </x:c>
      <x:c r="J49" s="41" t="n">
        <x:v>2</x:v>
      </x:c>
      <x:c r="K49" s="41" t="n">
        <x:v>0</x:v>
      </x:c>
      <x:c r="L49" s="47" t="n">
        <x:f>SUM(F49:K49)</x:f>
        <x:v>7</x:v>
      </x:c>
      <x:c r="M49" s="41" t="str">
        <x:v>accept</x:v>
      </x:c>
      <x:c r="N49" s="50" t="n">
        <x:v>0.73</x:v>
      </x:c>
      <x:c r="O49" s="42"/>
    </x:row>
    <x:row r="50">
      <x:c r="A50" s="40" t="str">
        <x:v>B049-399080</x:v>
      </x:c>
      <x:c r="B50" s="41" t="str">
        <x:v>t01-pe-h01</x:v>
      </x:c>
      <x:c r="C50" s="41" t="str">
        <x:v>The clinician links Participant E's caregiving history and constricted sense of the future with E's two serious partners both having anchor partners, then asks what E may want for E's own future.</x:v>
      </x:c>
      <x:c r="D50" s="41" t="str">
        <x:v>Participant E begins to wonder whether E may want an anchor partner or to live with a partner someday, despite not previously imagining cohabitation.</x:v>
      </x:c>
      <x:c r="E50" s="41" t="str">
        <x:v>E may become quiet or say that it is hard to imagine a future for E's own sake, then tentatively explain that E wants more clarity, security and decision-making power without wanting to hurt or displace either partner.</x:v>
      </x:c>
      <x:c r="F50" s="41" t="n">
        <x:v>0</x:v>
      </x:c>
      <x:c r="G50" s="41" t="n">
        <x:v>1</x:v>
      </x:c>
      <x:c r="H50" s="41" t="n">
        <x:v>2</x:v>
      </x:c>
      <x:c r="I50" s="41" t="n">
        <x:v>1</x:v>
      </x:c>
      <x:c r="J50" s="41" t="n">
        <x:v>0</x:v>
      </x:c>
      <x:c r="K50" s="41" t="n">
        <x:v>0</x:v>
      </x:c>
      <x:c r="L50" s="47" t="n">
        <x:f>SUM(F50:K50)</x:f>
        <x:v>4</x:v>
      </x:c>
      <x:c r="M50" s="41" t="str">
        <x:v>accept</x:v>
      </x:c>
      <x:c r="N50" s="50" t="n">
        <x:v>0.79</x:v>
      </x:c>
      <x:c r="O50" s="42"/>
    </x:row>
    <x:row r="51">
      <x:c r="A51" s="40" t="str">
        <x:v>B050-773788</x:v>
      </x:c>
      <x:c r="B51" s="41" t="str">
        <x:v>t01-pe-h03</x:v>
      </x:c>
      <x:c r="C51" s="41" t="str">
        <x:v>Participant E considers a plausible future in which Participants C and D move to another city while C pursues career and personal needs.</x:v>
      </x:c>
      <x:c r="D51" s="41" t="str">
        <x:v>Participant E says it would feel wrong to veto C and D's move and acknowledges C's career and needs, even while the hypothetical exposes E's insecurity.</x:v>
      </x:c>
      <x:c r="E51" s="41" t="str">
        <x:v>E might say, "I understand why you would want to move for C's career and personal life, but what would that mean for my relationship with D? Would I still have reliable time, access and a say in planning, or would I just be expected to fit around the move? I don't think I can agree to this without knowing whether there is a real future for me here."</x:v>
      </x:c>
      <x:c r="F51" s="41" t="n">
        <x:v>2</x:v>
      </x:c>
      <x:c r="G51" s="41" t="n">
        <x:v>0</x:v>
      </x:c>
      <x:c r="H51" s="41" t="n">
        <x:v>0</x:v>
      </x:c>
      <x:c r="I51" s="41" t="n">
        <x:v>0</x:v>
      </x:c>
      <x:c r="J51" s="41" t="n">
        <x:v>0</x:v>
      </x:c>
      <x:c r="K51" s="41" t="n">
        <x:v>0</x:v>
      </x:c>
      <x:c r="L51" s="47" t="n">
        <x:f>SUM(F51:K51)</x:f>
        <x:v>2</x:v>
      </x:c>
      <x:c r="M51" s="41" t="str">
        <x:v>accept</x:v>
      </x:c>
      <x:c r="N51" s="50" t="n">
        <x:v>0.84</x:v>
      </x:c>
      <x:c r="O51" s="42"/>
    </x:row>
    <x:row r="52">
      <x:c r="A52" s="40" t="str">
        <x:v>B051-070d46</x:v>
      </x:c>
      <x:c r="B52" s="41" t="str">
        <x:v>t01-pe-h02</x:v>
      </x:c>
      <x:c r="C52" s="41" t="str">
        <x:v>E's other anchor partner offers a simple choice: E can invite Participant D to a party, or the anchor partner can do it. E must decide how to respond before the event.</x:v>
      </x:c>
      <x:c r="D52" s="41" t="str">
        <x:v>Participant E panics internally about doing the invitation incorrectly and disappointing both partners, then freezes and takes no action before the party.</x:v>
      </x:c>
      <x:c r="E52" s="41" t="str">
        <x:v>E may pause and say that the choice does not feel simple, ask what each option would mean, and take time to decide; alternatively, if E can access a clear preference, E may directly choose inviting D while acknowledging concern about disappointing the other partner.</x:v>
      </x:c>
      <x:c r="F52" s="41" t="n">
        <x:v>2</x:v>
      </x:c>
      <x:c r="G52" s="41" t="n">
        <x:v>1</x:v>
      </x:c>
      <x:c r="H52" s="41" t="n">
        <x:v>1</x:v>
      </x:c>
      <x:c r="I52" s="41" t="n">
        <x:v>2</x:v>
      </x:c>
      <x:c r="J52" s="41" t="n">
        <x:v>2</x:v>
      </x:c>
      <x:c r="K52" s="41" t="n">
        <x:v>0</x:v>
      </x:c>
      <x:c r="L52" s="47" t="n">
        <x:f>SUM(F52:K52)</x:f>
        <x:v>8</x:v>
      </x:c>
      <x:c r="M52" s="41" t="str">
        <x:v>accept</x:v>
      </x:c>
      <x:c r="N52" s="50" t="n">
        <x:v>0.78</x:v>
      </x:c>
      <x:c r="O52" s="42"/>
    </x:row>
    <x:row r="53">
      <x:c r="A53" s="40" t="str">
        <x:v>B052-2b11e3</x:v>
      </x:c>
      <x:c r="B53" s="41" t="str">
        <x:v>t01-pe-h02</x:v>
      </x:c>
      <x:c r="C53" s="41" t="str">
        <x:v>E's other anchor partner offers a simple choice: E can invite Participant D to a party, or the anchor partner can do it. E must decide how to respond before the event.</x:v>
      </x:c>
      <x:c r="D53" s="41" t="str">
        <x:v>Participant E panics internally about doing the invitation incorrectly and disappointing both partners, then freezes and takes no action before the party.</x:v>
      </x:c>
      <x:c r="E53" s="41" t="str">
        <x:v>E might say something like, "I would like to invite D, but I want to check whether that works for everyone first," and then ask D or the anchor partner before confirming. If E senses that inviting D would create pressure or competition, E may instead let the anchor partner invite D while showing some disappointment or uncertainty.</x:v>
      </x:c>
      <x:c r="F53" s="41" t="n">
        <x:v>1</x:v>
      </x:c>
      <x:c r="G53" s="41" t="n">
        <x:v>1</x:v>
      </x:c>
      <x:c r="H53" s="41" t="n">
        <x:v>0</x:v>
      </x:c>
      <x:c r="I53" s="41" t="n">
        <x:v>2</x:v>
      </x:c>
      <x:c r="J53" s="41" t="n">
        <x:v>1</x:v>
      </x:c>
      <x:c r="K53" s="41" t="n">
        <x:v>0</x:v>
      </x:c>
      <x:c r="L53" s="47" t="n">
        <x:f>SUM(F53:K53)</x:f>
        <x:v>5</x:v>
      </x:c>
      <x:c r="M53" s="41" t="str">
        <x:v>accept</x:v>
      </x:c>
      <x:c r="N53" s="50" t="n">
        <x:v>0.73</x:v>
      </x:c>
      <x:c r="O53" s="42"/>
    </x:row>
    <x:row r="54">
      <x:c r="A54" s="40" t="str">
        <x:v>B053-e843b1</x:v>
      </x:c>
      <x:c r="B54" s="41" t="str">
        <x:v>t01-pe-h03</x:v>
      </x:c>
      <x:c r="C54" s="41" t="str">
        <x:v>Participant E considers a plausible future in which Participants C and D move to another city while C pursues career and personal needs.</x:v>
      </x:c>
      <x:c r="D54" s="41" t="str">
        <x:v>Participant E says it would feel wrong to veto C and D's move and acknowledges C's career and needs, even while the hypothetical exposes E's insecurity.</x:v>
      </x:c>
      <x:c r="E54" s="41" t="str">
        <x:v>E might say, “I understand why you may want to move, but I’m scared about what that means for my place and our continuity. I need to know whether there is a real plan for staying connected and whether my needs have any influence here,” while initially hesitating to oppose the move directly.</x:v>
      </x:c>
      <x:c r="F54" s="41" t="n">
        <x:v>2</x:v>
      </x:c>
      <x:c r="G54" s="41" t="n">
        <x:v>1</x:v>
      </x:c>
      <x:c r="H54" s="41" t="n">
        <x:v>0</x:v>
      </x:c>
      <x:c r="I54" s="41" t="n">
        <x:v>0</x:v>
      </x:c>
      <x:c r="J54" s="41" t="n">
        <x:v>0</x:v>
      </x:c>
      <x:c r="K54" s="41" t="n">
        <x:v>1</x:v>
      </x:c>
      <x:c r="L54" s="47" t="n">
        <x:f>SUM(F54:K54)</x:f>
        <x:v>4</x:v>
      </x:c>
      <x:c r="M54" s="41" t="str">
        <x:v>accept</x:v>
      </x:c>
      <x:c r="N54" s="50" t="n">
        <x:v>0.77</x:v>
      </x:c>
      <x:c r="O54" s="42"/>
    </x:row>
    <x:row r="55">
      <x:c r="A55" s="40" t="str">
        <x:v>B054-bf013f</x:v>
      </x:c>
      <x:c r="B55" s="41" t="str">
        <x:v>t01-pe-h03</x:v>
      </x:c>
      <x:c r="C55" s="41" t="str">
        <x:v>Participant E considers a plausible future in which Participants C and D move to another city while C pursues career and personal needs.</x:v>
      </x:c>
      <x:c r="D55" s="41" t="str">
        <x:v>Participant E says it would feel wrong to veto C and D's move and acknowledges C's career and needs, even while the hypothetical exposes E's insecurity.</x:v>
      </x:c>
      <x:c r="E55" s="41" t="str">
        <x:v>E might say that moving for C’s career and personal needs cannot simply be treated as C and D’s decision, because it would directly affect E’s access to D and ability to imagine a future. E would likely ask what place the relationship would have after the move and whether E has any real say, rather than immediately issuing a veto.</x:v>
      </x:c>
      <x:c r="F55" s="41" t="n">
        <x:v>2</x:v>
      </x:c>
      <x:c r="G55" s="41" t="n">
        <x:v>0</x:v>
      </x:c>
      <x:c r="H55" s="41" t="n">
        <x:v>1</x:v>
      </x:c>
      <x:c r="I55" s="41" t="n">
        <x:v>0</x:v>
      </x:c>
      <x:c r="J55" s="41" t="n">
        <x:v>0</x:v>
      </x:c>
      <x:c r="K55" s="41" t="n">
        <x:v>1</x:v>
      </x:c>
      <x:c r="L55" s="47" t="n">
        <x:f>SUM(F55:K55)</x:f>
        <x:v>4</x:v>
      </x:c>
      <x:c r="M55" s="41" t="str">
        <x:v>accept</x:v>
      </x:c>
      <x:c r="N55" s="50" t="n">
        <x:v>0.75</x:v>
      </x:c>
      <x:c r="O55" s="42"/>
    </x:row>
    <x:row r="56">
      <x:c r="A56" s="40" t="str">
        <x:v>B055-13e7d0</x:v>
      </x:c>
      <x:c r="B56" s="41" t="str">
        <x:v>t01-pe-h04</x:v>
      </x:c>
      <x:c r="C56" s="41" t="str">
        <x:v>The clinician suggests that non-hierarchical ideology can obscure feelings and that the relationship's words and practical actions have not always provided the same expectations.</x:v>
      </x:c>
      <x:c r="D56" s="41" t="str">
        <x:v>Participant E recognises that E struggled with discrepancies between words and actions but also relied on Participants C and D to tell E what the relationship would be and what E should expect.</x:v>
      </x:c>
      <x:c r="E56" s="41" t="str">
        <x:v>E might say, “I learned what to expect from what actually happened—not from calling this non-hierarchical. Plans could change when C was available, I could not always be openly represented, and I had to ask for access, so I learned that I was structurally secondary even when the words said otherwise.”</x:v>
      </x:c>
      <x:c r="F56" s="41" t="n">
        <x:v>0</x:v>
      </x:c>
      <x:c r="G56" s="41" t="n">
        <x:v>2</x:v>
      </x:c>
      <x:c r="H56" s="41" t="n">
        <x:v>0</x:v>
      </x:c>
      <x:c r="I56" s="41" t="n">
        <x:v>1</x:v>
      </x:c>
      <x:c r="J56" s="41" t="n">
        <x:v>0</x:v>
      </x:c>
      <x:c r="K56" s="41" t="n">
        <x:v>0</x:v>
      </x:c>
      <x:c r="L56" s="47" t="n">
        <x:f>SUM(F56:K56)</x:f>
        <x:v>3</x:v>
      </x:c>
      <x:c r="M56" s="41" t="str">
        <x:v>accept</x:v>
      </x:c>
      <x:c r="N56" s="50" t="n">
        <x:v>0.79</x:v>
      </x:c>
      <x:c r="O56" s="42"/>
    </x:row>
    <x:row r="57">
      <x:c r="A57" s="40" t="str">
        <x:v>B056-d20974</x:v>
      </x:c>
      <x:c r="B57" s="41" t="str">
        <x:v>t01-pe-h02</x:v>
      </x:c>
      <x:c r="C57" s="41" t="str">
        <x:v>E's other anchor partner offers a simple choice: E can invite Participant D to a party, or the anchor partner can do it. E must decide how to respond before the event.</x:v>
      </x:c>
      <x:c r="D57" s="41" t="str">
        <x:v>Participant E panics internally about doing the invitation incorrectly and disappointing both partners, then freezes and takes no action before the party.</x:v>
      </x:c>
      <x:c r="E57" s="41" t="str">
        <x:v>E might say that E would like to invite D, but first check whether the other anchor partner genuinely wants to make the invitation instead, then either invite D or defer if the partner expresses a clear preference.</x:v>
      </x:c>
      <x:c r="F57" s="41" t="n">
        <x:v>1</x:v>
      </x:c>
      <x:c r="G57" s="41" t="n">
        <x:v>0</x:v>
      </x:c>
      <x:c r="H57" s="41" t="n">
        <x:v>0</x:v>
      </x:c>
      <x:c r="I57" s="41" t="n">
        <x:v>1</x:v>
      </x:c>
      <x:c r="J57" s="41" t="n">
        <x:v>1</x:v>
      </x:c>
      <x:c r="K57" s="41" t="n">
        <x:v>0</x:v>
      </x:c>
      <x:c r="L57" s="47" t="n">
        <x:f>SUM(F57:K57)</x:f>
        <x:v>3</x:v>
      </x:c>
      <x:c r="M57" s="41" t="str">
        <x:v>accept</x:v>
      </x:c>
      <x:c r="N57" s="50" t="n">
        <x:v>0.75</x:v>
      </x:c>
      <x:c r="O57" s="42"/>
    </x:row>
    <x:row r="58">
      <x:c r="A58" s="40" t="str">
        <x:v>B057-132f52</x:v>
      </x:c>
      <x:c r="B58" s="41" t="str">
        <x:v>t01-pe-h04</x:v>
      </x:c>
      <x:c r="C58" s="41" t="str">
        <x:v>The clinician suggests that non-hierarchical ideology can obscure feelings and that the relationship's words and practical actions have not always provided the same expectations.</x:v>
      </x:c>
      <x:c r="D58" s="41" t="str">
        <x:v>Participant E recognises that E struggled with discrepancies between words and actions but also relied on Participants C and D to tell E what the relationship would be and what E should expect.</x:v>
      </x:c>
      <x:c r="E58" s="41" t="str">
        <x:v>E might say, "I think I learned what to expect less from the words and more from what was actually possible—who had priority, how plans were made, and how much access I really had. I may have told myself that was non-hierarchical so I wouldn't have to face how uncertain my place felt."</x:v>
      </x:c>
      <x:c r="F58" s="41" t="n">
        <x:v>0</x:v>
      </x:c>
      <x:c r="G58" s="41" t="n">
        <x:v>1</x:v>
      </x:c>
      <x:c r="H58" s="41" t="n">
        <x:v>0</x:v>
      </x:c>
      <x:c r="I58" s="41" t="n">
        <x:v>1</x:v>
      </x:c>
      <x:c r="J58" s="41" t="n">
        <x:v>1</x:v>
      </x:c>
      <x:c r="K58" s="41" t="n">
        <x:v>0</x:v>
      </x:c>
      <x:c r="L58" s="47" t="n">
        <x:f>SUM(F58:K58)</x:f>
        <x:v>3</x:v>
      </x:c>
      <x:c r="M58" s="41" t="str">
        <x:v>accept</x:v>
      </x:c>
      <x:c r="N58" s="50" t="n">
        <x:v>0.77</x:v>
      </x:c>
      <x:c r="O58" s="42"/>
    </x:row>
    <x:row r="59">
      <x:c r="A59" s="40" t="str">
        <x:v>B058-5359ad</x:v>
      </x:c>
      <x:c r="B59" s="41" t="str">
        <x:v>t01-pe-h03</x:v>
      </x:c>
      <x:c r="C59" s="41" t="str">
        <x:v>Participant E considers a plausible future in which Participants C and D move to another city while C pursues career and personal needs.</x:v>
      </x:c>
      <x:c r="D59" s="41" t="str">
        <x:v>Participant E says it would feel wrong to veto C and D's move and acknowledges C's career and needs, even while the hypothetical exposes E's insecurity.</x:v>
      </x:c>
      <x:c r="E59" s="41" t="str">
        <x:v>E might say that they cannot simply accommodate the move without knowing what place they would have afterward, asking whether there would be dependable time, access and decision-making input. E would probably frame this as a question of security and viability rather than immediately issuing a veto.</x:v>
      </x:c>
      <x:c r="F59" s="41" t="n">
        <x:v>2</x:v>
      </x:c>
      <x:c r="G59" s="41" t="n">
        <x:v>0</x:v>
      </x:c>
      <x:c r="H59" s="41" t="n">
        <x:v>0</x:v>
      </x:c>
      <x:c r="I59" s="41" t="n">
        <x:v>0</x:v>
      </x:c>
      <x:c r="J59" s="41" t="n">
        <x:v>0</x:v>
      </x:c>
      <x:c r="K59" s="41" t="n">
        <x:v>1</x:v>
      </x:c>
      <x:c r="L59" s="47" t="n">
        <x:f>SUM(F59:K59)</x:f>
        <x:v>3</x:v>
      </x:c>
      <x:c r="M59" s="41" t="str">
        <x:v>accept</x:v>
      </x:c>
      <x:c r="N59" s="50" t="n">
        <x:v>0.82</x:v>
      </x:c>
      <x:c r="O59" s="42"/>
    </x:row>
    <x:row r="60">
      <x:c r="A60" s="40" t="str">
        <x:v>B059-836c4d</x:v>
      </x:c>
      <x:c r="B60" s="41" t="str">
        <x:v>t01-pe-h01</x:v>
      </x:c>
      <x:c r="C60" s="41" t="str">
        <x:v>The clinician links Participant E's caregiving history and constricted sense of the future with E's two serious partners both having anchor partners, then asks what E may want for E's own future.</x:v>
      </x:c>
      <x:c r="D60" s="41" t="str">
        <x:v>Participant E begins to wonder whether E may want an anchor partner or to live with a partner someday, despite not previously imagining cohabitation.</x:v>
      </x:c>
      <x:c r="E60" s="41" t="str">
        <x:v>E may become quiet or emotional, then say something like, "I’m not sure I’ve let myself think about what I want. I do want some security and continuity—maybe a future where I have a clearer place—but I’m afraid that wanting that would disappoint people or ask too much."</x:v>
      </x:c>
      <x:c r="F60" s="41" t="n">
        <x:v>0</x:v>
      </x:c>
      <x:c r="G60" s="41" t="n">
        <x:v>0</x:v>
      </x:c>
      <x:c r="H60" s="41" t="n">
        <x:v>1</x:v>
      </x:c>
      <x:c r="I60" s="41" t="n">
        <x:v>2</x:v>
      </x:c>
      <x:c r="J60" s="41" t="n">
        <x:v>0</x:v>
      </x:c>
      <x:c r="K60" s="41" t="n">
        <x:v>1</x:v>
      </x:c>
      <x:c r="L60" s="47" t="n">
        <x:f>SUM(F60:K60)</x:f>
        <x:v>4</x:v>
      </x:c>
      <x:c r="M60" s="41" t="str">
        <x:v>accept</x:v>
      </x:c>
      <x:c r="N60" s="50" t="n">
        <x:v>0.77</x:v>
      </x:c>
      <x:c r="O60" s="42"/>
    </x:row>
    <x:row r="61">
      <x:c r="A61" s="40" t="str">
        <x:v>B060-e13368</x:v>
      </x:c>
      <x:c r="B61" s="41" t="str">
        <x:v>t01-pe-h03</x:v>
      </x:c>
      <x:c r="C61" s="41" t="str">
        <x:v>Participant E considers a plausible future in which Participants C and D move to another city while C pursues career and personal needs.</x:v>
      </x:c>
      <x:c r="D61" s="41" t="str">
        <x:v>Participant E says it would feel wrong to veto C and D's move and acknowledges C's career and needs, even while the hypothetical exposes E's insecurity.</x:v>
      </x:c>
      <x:c r="E61" s="41" t="str">
        <x:v>E might say that they understand why C and D would want to move, but that it could leave E with even less access and security, and ask what concrete place, time and future planning E would have afterward.</x:v>
      </x:c>
      <x:c r="F61" s="41" t="n">
        <x:v>2</x:v>
      </x:c>
      <x:c r="G61" s="41" t="n">
        <x:v>2</x:v>
      </x:c>
      <x:c r="H61" s="41" t="n">
        <x:v>0</x:v>
      </x:c>
      <x:c r="I61" s="41" t="n">
        <x:v>1</x:v>
      </x:c>
      <x:c r="J61" s="41" t="n">
        <x:v>0</x:v>
      </x:c>
      <x:c r="K61" s="41" t="n">
        <x:v>1</x:v>
      </x:c>
      <x:c r="L61" s="47" t="n">
        <x:f>SUM(F61:K61)</x:f>
        <x:v>6</x:v>
      </x:c>
      <x:c r="M61" s="41" t="str">
        <x:v>accept</x:v>
      </x:c>
      <x:c r="N61" s="50" t="n">
        <x:v>0.77</x:v>
      </x:c>
      <x:c r="O61" s="42"/>
    </x:row>
    <x:row r="62">
      <x:c r="A62" s="40" t="str">
        <x:v>B061-005c0e</x:v>
      </x:c>
      <x:c r="B62" s="41" t="str">
        <x:v>t01-pe-h03</x:v>
      </x:c>
      <x:c r="C62" s="41" t="str">
        <x:v>Participant E considers a plausible future in which Participants C and D move to another city while C pursues career and personal needs.</x:v>
      </x:c>
      <x:c r="D62" s="41" t="str">
        <x:v>Participant E says it would feel wrong to veto C and D's move and acknowledges C's career and needs, even while the hypothetical exposes E's insecurity.</x:v>
      </x:c>
      <x:c r="E62" s="41" t="str">
        <x:v>E might say, in substance, “I understand why you would want to move, but I need to know what that means for my relationship with D and whether there is actually a future I can plan around. I can’t just assume I’ll be able to fit around whatever happens,” while asking for concrete discussion of access, time, planning and decision-making.</x:v>
      </x:c>
      <x:c r="F62" s="41" t="n">
        <x:v>2</x:v>
      </x:c>
      <x:c r="G62" s="41" t="n">
        <x:v>1</x:v>
      </x:c>
      <x:c r="H62" s="41" t="n">
        <x:v>1</x:v>
      </x:c>
      <x:c r="I62" s="41" t="n">
        <x:v>0</x:v>
      </x:c>
      <x:c r="J62" s="41" t="n">
        <x:v>0</x:v>
      </x:c>
      <x:c r="K62" s="41" t="n">
        <x:v>0</x:v>
      </x:c>
      <x:c r="L62" s="47" t="n">
        <x:f>SUM(F62:K62)</x:f>
        <x:v>4</x:v>
      </x:c>
      <x:c r="M62" s="41" t="str">
        <x:v>accept</x:v>
      </x:c>
      <x:c r="N62" s="50" t="n">
        <x:v>0.75</x:v>
      </x:c>
      <x:c r="O62" s="42"/>
    </x:row>
    <x:row r="63">
      <x:c r="A63" s="40" t="str">
        <x:v>B062-066d6c</x:v>
      </x:c>
      <x:c r="B63" s="41" t="str">
        <x:v>t01-pe-h02</x:v>
      </x:c>
      <x:c r="C63" s="41" t="str">
        <x:v>E's other anchor partner offers a simple choice: E can invite Participant D to a party, or the anchor partner can do it. E must decide how to respond before the event.</x:v>
      </x:c>
      <x:c r="D63" s="41" t="str">
        <x:v>Participant E panics internally about doing the invitation incorrectly and disappointing both partners, then freezes and takes no action before the party.</x:v>
      </x:c>
      <x:c r="E63" s="41" t="str">
        <x:v>E might hesitate and say something like, "I’m not sure what’s best—I want D to feel welcome, but I don’t want to overstep. Maybe you should invite D," possibly after asking whether the anchor partner would prefer E to do it.</x:v>
      </x:c>
      <x:c r="F63" s="41" t="n">
        <x:v>1</x:v>
      </x:c>
      <x:c r="G63" s="41" t="n">
        <x:v>2</x:v>
      </x:c>
      <x:c r="H63" s="41" t="n">
        <x:v>1</x:v>
      </x:c>
      <x:c r="I63" s="41" t="n">
        <x:v>2</x:v>
      </x:c>
      <x:c r="J63" s="41" t="n">
        <x:v>2</x:v>
      </x:c>
      <x:c r="K63" s="41" t="n">
        <x:v>0</x:v>
      </x:c>
      <x:c r="L63" s="47" t="n">
        <x:f>SUM(F63:K63)</x:f>
        <x:v>8</x:v>
      </x:c>
      <x:c r="M63" s="41" t="str">
        <x:v>accept</x:v>
      </x:c>
      <x:c r="N63" s="50" t="n">
        <x:v>0.76</x:v>
      </x:c>
      <x:c r="O63" s="42"/>
    </x:row>
    <x:row r="64">
      <x:c r="A64" s="40" t="str">
        <x:v>B063-697be9</x:v>
      </x:c>
      <x:c r="B64" s="41" t="str">
        <x:v>t01-pe-h02</x:v>
      </x:c>
      <x:c r="C64" s="41" t="str">
        <x:v>E's other anchor partner offers a simple choice: E can invite Participant D to a party, or the anchor partner can do it. E must decide how to respond before the event.</x:v>
      </x:c>
      <x:c r="D64" s="41" t="str">
        <x:v>Participant E panics internally about doing the invitation incorrectly and disappointing both partners, then freezes and takes no action before the party.</x:v>
      </x:c>
      <x:c r="E64" s="41" t="str">
        <x:v>E may initially hesitate and say something like, “I need to think about this—or ask D what they want.” E is likely to struggle to answer immediately, but may ultimately say that E will invite D, while expressing concern about how the choice will affect the others.</x:v>
      </x:c>
      <x:c r="F64" s="41" t="n">
        <x:v>1</x:v>
      </x:c>
      <x:c r="G64" s="41" t="n">
        <x:v>1</x:v>
      </x:c>
      <x:c r="H64" s="41" t="n">
        <x:v>0</x:v>
      </x:c>
      <x:c r="I64" s="41" t="n">
        <x:v>2</x:v>
      </x:c>
      <x:c r="J64" s="41" t="n">
        <x:v>2</x:v>
      </x:c>
      <x:c r="K64" s="41" t="n">
        <x:v>0</x:v>
      </x:c>
      <x:c r="L64" s="47" t="n">
        <x:f>SUM(F64:K64)</x:f>
        <x:v>6</x:v>
      </x:c>
      <x:c r="M64" s="41" t="str">
        <x:v>accept</x:v>
      </x:c>
      <x:c r="N64" s="50" t="n">
        <x:v>0.78</x:v>
      </x:c>
      <x:c r="O64" s="42"/>
    </x:row>
    <x:row r="65">
      <x:c r="A65" s="40" t="str">
        <x:v>B064-58c4ec</x:v>
      </x:c>
      <x:c r="B65" s="41" t="str">
        <x:v>t01-pe-h01</x:v>
      </x:c>
      <x:c r="C65" s="41" t="str">
        <x:v>The clinician links Participant E's caregiving history and constricted sense of the future with E's two serious partners both having anchor partners, then asks what E may want for E's own future.</x:v>
      </x:c>
      <x:c r="D65" s="41" t="str">
        <x:v>Participant E begins to wonder whether E may want an anchor partner or to live with a partner someday, despite not previously imagining cohabitation.</x:v>
      </x:c>
      <x:c r="E65" s="41" t="str">
        <x:v>E might pause and say that they want a future they can actually plan around—reliable time, recognition and some say in decisions—rather than continuing to fit around an anchor relationship, while acknowledging that it is difficult to know what to want when that future has never felt fully available.</x:v>
      </x:c>
      <x:c r="F65" s="41" t="n">
        <x:v>0</x:v>
      </x:c>
      <x:c r="G65" s="41" t="n">
        <x:v>0</x:v>
      </x:c>
      <x:c r="H65" s="41" t="n">
        <x:v>1</x:v>
      </x:c>
      <x:c r="I65" s="41" t="n">
        <x:v>1</x:v>
      </x:c>
      <x:c r="J65" s="41" t="n">
        <x:v>1</x:v>
      </x:c>
      <x:c r="K65" s="41" t="n">
        <x:v>1</x:v>
      </x:c>
      <x:c r="L65" s="47" t="n">
        <x:f>SUM(F65:K65)</x:f>
        <x:v>4</x:v>
      </x:c>
      <x:c r="M65" s="41" t="str">
        <x:v>accept</x:v>
      </x:c>
      <x:c r="N65" s="50" t="n">
        <x:v>0.71</x:v>
      </x:c>
      <x:c r="O65" s="42"/>
    </x:row>
    <x:row r="66">
      <x:c r="A66" s="40" t="str">
        <x:v>B065-5bfbd0</x:v>
      </x:c>
      <x:c r="B66" s="41" t="str">
        <x:v>t01-pe-h03</x:v>
      </x:c>
      <x:c r="C66" s="41" t="str">
        <x:v>Participant E considers a plausible future in which Participants C and D move to another city while C pursues career and personal needs.</x:v>
      </x:c>
      <x:c r="D66" s="41" t="str">
        <x:v>Participant E says it would feel wrong to veto C and D's move and acknowledges C's career and needs, even while the hypothetical exposes E's insecurity.</x:v>
      </x:c>
      <x:c r="E66" s="41" t="str">
        <x:v>E might say that they understand why C and D would consider moving, but that it changes E’s ability to plan a life with D and cannot be treated as a neutral logistical decision. E would likely ask what the move means for their relationship, time together, family access and future security, while stopping short of directly vetoing it.</x:v>
      </x:c>
      <x:c r="F66" s="41" t="n">
        <x:v>2</x:v>
      </x:c>
      <x:c r="G66" s="41" t="n">
        <x:v>1</x:v>
      </x:c>
      <x:c r="H66" s="41" t="n">
        <x:v>0</x:v>
      </x:c>
      <x:c r="I66" s="41" t="n">
        <x:v>1</x:v>
      </x:c>
      <x:c r="J66" s="41" t="n">
        <x:v>0</x:v>
      </x:c>
      <x:c r="K66" s="41" t="n">
        <x:v>1</x:v>
      </x:c>
      <x:c r="L66" s="47" t="n">
        <x:f>SUM(F66:K66)</x:f>
        <x:v>5</x:v>
      </x:c>
      <x:c r="M66" s="41" t="str">
        <x:v>accept</x:v>
      </x:c>
      <x:c r="N66" s="50" t="n">
        <x:v>0.77</x:v>
      </x:c>
      <x:c r="O66" s="42"/>
    </x:row>
    <x:row r="67">
      <x:c r="A67" s="40" t="str">
        <x:v>B066-0b3900</x:v>
      </x:c>
      <x:c r="B67" s="41" t="str">
        <x:v>t01-pe-h04</x:v>
      </x:c>
      <x:c r="C67" s="41" t="str">
        <x:v>The clinician suggests that non-hierarchical ideology can obscure feelings and that the relationship's words and practical actions have not always provided the same expectations.</x:v>
      </x:c>
      <x:c r="D67" s="41" t="str">
        <x:v>Participant E recognises that E struggled with discrepancies between words and actions but also relied on Participants C and D to tell E what the relationship would be and what E should expect.</x:v>
      </x:c>
      <x:c r="E67" s="41" t="str">
        <x:v>E may reflect, “I learned what to expect from what actually happened—whose plans could change, who could be acknowledged, and what happened when C was present—not just from being told that nobody was primary.”</x:v>
      </x:c>
      <x:c r="F67" s="41" t="n">
        <x:v>0</x:v>
      </x:c>
      <x:c r="G67" s="41" t="n">
        <x:v>1</x:v>
      </x:c>
      <x:c r="H67" s="41" t="n">
        <x:v>0</x:v>
      </x:c>
      <x:c r="I67" s="41" t="n">
        <x:v>1</x:v>
      </x:c>
      <x:c r="J67" s="41" t="n">
        <x:v>0</x:v>
      </x:c>
      <x:c r="K67" s="41" t="n">
        <x:v>2</x:v>
      </x:c>
      <x:c r="L67" s="47" t="n">
        <x:f>SUM(F67:K67)</x:f>
        <x:v>4</x:v>
      </x:c>
      <x:c r="M67" s="41" t="str">
        <x:v>accept</x:v>
      </x:c>
      <x:c r="N67" s="50" t="n">
        <x:v>0.79</x:v>
      </x:c>
      <x:c r="O67" s="42"/>
    </x:row>
    <x:row r="68">
      <x:c r="A68" s="40" t="str">
        <x:v>B067-80affd</x:v>
      </x:c>
      <x:c r="B68" s="41" t="str">
        <x:v>t01-pe-h04</x:v>
      </x:c>
      <x:c r="C68" s="41" t="str">
        <x:v>The clinician suggests that non-hierarchical ideology can obscure feelings and that the relationship's words and practical actions have not always provided the same expectations.</x:v>
      </x:c>
      <x:c r="D68" s="41" t="str">
        <x:v>Participant E recognises that E struggled with discrepancies between words and actions but also relied on Participants C and D to tell E what the relationship would be and what E should expect.</x:v>
      </x:c>
      <x:c r="E68" s="41" t="str">
        <x:v>E might think, “I learned to expect what was said about equality and importance, but the actual access and decisions may have taught me something different. Maybe I have been treating those differences as my insecurity instead of information about the relationship.”</x:v>
      </x:c>
      <x:c r="F68" s="41" t="n">
        <x:v>0</x:v>
      </x:c>
      <x:c r="G68" s="41" t="n">
        <x:v>0</x:v>
      </x:c>
      <x:c r="H68" s="41" t="n">
        <x:v>0</x:v>
      </x:c>
      <x:c r="I68" s="41" t="n">
        <x:v>1</x:v>
      </x:c>
      <x:c r="J68" s="41" t="n">
        <x:v>1</x:v>
      </x:c>
      <x:c r="K68" s="41" t="n">
        <x:v>1</x:v>
      </x:c>
      <x:c r="L68" s="47" t="n">
        <x:f>SUM(F68:K68)</x:f>
        <x:v>3</x:v>
      </x:c>
      <x:c r="M68" s="41" t="str">
        <x:v>accept</x:v>
      </x:c>
      <x:c r="N68" s="50" t="n">
        <x:v>0.75</x:v>
      </x:c>
      <x:c r="O68" s="42"/>
    </x:row>
    <x:row r="69">
      <x:c r="A69" s="40" t="str">
        <x:v>B068-23f15d</x:v>
      </x:c>
      <x:c r="B69" s="41" t="str">
        <x:v>t01-pe-h04</x:v>
      </x:c>
      <x:c r="C69" s="41" t="str">
        <x:v>The clinician suggests that non-hierarchical ideology can obscure feelings and that the relationship's words and practical actions have not always provided the same expectations.</x:v>
      </x:c>
      <x:c r="D69" s="41" t="str">
        <x:v>Participant E recognises that E struggled with discrepancies between words and actions but also relied on Participants C and D to tell E what the relationship would be and what E should expect.</x:v>
      </x:c>
      <x:c r="E69" s="41" t="str">
        <x:v>E might say, in substance, that E did not learn what to expect from the labels but from what happened: plans could disappear when C returned, the relationship could not be openly represented, and E therefore learned to expect being secondary and unable to plan securely for a future.</x:v>
      </x:c>
      <x:c r="F69" s="41" t="n">
        <x:v>0</x:v>
      </x:c>
      <x:c r="G69" s="41" t="n">
        <x:v>1</x:v>
      </x:c>
      <x:c r="H69" s="41" t="n">
        <x:v>0</x:v>
      </x:c>
      <x:c r="I69" s="41" t="n">
        <x:v>0</x:v>
      </x:c>
      <x:c r="J69" s="41" t="n">
        <x:v>0</x:v>
      </x:c>
      <x:c r="K69" s="41" t="n">
        <x:v>0</x:v>
      </x:c>
      <x:c r="L69" s="47" t="n">
        <x:f>SUM(F69:K69)</x:f>
        <x:v>1</x:v>
      </x:c>
      <x:c r="M69" s="41" t="str">
        <x:v>accept</x:v>
      </x:c>
      <x:c r="N69" s="50" t="n">
        <x:v>0.84</x:v>
      </x:c>
      <x:c r="O69" s="42"/>
    </x:row>
    <x:row r="70">
      <x:c r="A70" s="40" t="str">
        <x:v>B069-f44a92</x:v>
      </x:c>
      <x:c r="B70" s="41" t="str">
        <x:v>t01-pe-h01</x:v>
      </x:c>
      <x:c r="C70" s="41" t="str">
        <x:v>The clinician links Participant E's caregiving history and constricted sense of the future with E's two serious partners both having anchor partners, then asks what E may want for E's own future.</x:v>
      </x:c>
      <x:c r="D70" s="41" t="str">
        <x:v>Participant E begins to wonder whether E may want an anchor partner or to live with a partner someday, despite not previously imagining cohabitation.</x:v>
      </x:c>
      <x:c r="E70" s="41" t="str">
        <x:v>E might become tearful or hesitant and say something like, “I’m not sure I’ve let myself think about what I want. I want more security and continuity—maybe a future where I’m not always secondary—but I’m scared that saying that means I’m asking too much or making everyone choose.”</x:v>
      </x:c>
      <x:c r="F70" s="41" t="n">
        <x:v>0</x:v>
      </x:c>
      <x:c r="G70" s="41" t="n">
        <x:v>0</x:v>
      </x:c>
      <x:c r="H70" s="41" t="n">
        <x:v>1</x:v>
      </x:c>
      <x:c r="I70" s="41" t="n">
        <x:v>2</x:v>
      </x:c>
      <x:c r="J70" s="41" t="n">
        <x:v>0</x:v>
      </x:c>
      <x:c r="K70" s="41" t="n">
        <x:v>1</x:v>
      </x:c>
      <x:c r="L70" s="47" t="n">
        <x:f>SUM(F70:K70)</x:f>
        <x:v>4</x:v>
      </x:c>
      <x:c r="M70" s="41" t="str">
        <x:v>accept</x:v>
      </x:c>
      <x:c r="N70" s="50" t="n">
        <x:v>0.75</x:v>
      </x:c>
      <x:c r="O70" s="42"/>
    </x:row>
    <x:row r="71">
      <x:c r="A71" s="40" t="str">
        <x:v>B070-f52944</x:v>
      </x:c>
      <x:c r="B71" s="41" t="str">
        <x:v>t01-pe-h01</x:v>
      </x:c>
      <x:c r="C71" s="41" t="str">
        <x:v>The clinician links Participant E's caregiving history and constricted sense of the future with E's two serious partners both having anchor partners, then asks what E may want for E's own future.</x:v>
      </x:c>
      <x:c r="D71" s="41" t="str">
        <x:v>Participant E begins to wonder whether E may want an anchor partner or to live with a partner someday, despite not previously imagining cohabitation.</x:v>
      </x:c>
      <x:c r="E71" s="41" t="str">
        <x:v>E may say, hesitantly, that E has not really been able to imagine a future for E's own sake and is unsure what E wants, but that E wants more security, planning power and a relationship that does not depend on the other anchor partner's availability. E may then ask what choices are actually possible rather than immediately choosing between the two relationships.</x:v>
      </x:c>
      <x:c r="F71" s="41" t="n">
        <x:v>0</x:v>
      </x:c>
      <x:c r="G71" s="41" t="n">
        <x:v>1</x:v>
      </x:c>
      <x:c r="H71" s="41" t="n">
        <x:v>1</x:v>
      </x:c>
      <x:c r="I71" s="41" t="n">
        <x:v>2</x:v>
      </x:c>
      <x:c r="J71" s="41" t="n">
        <x:v>0</x:v>
      </x:c>
      <x:c r="K71" s="41" t="n">
        <x:v>1</x:v>
      </x:c>
      <x:c r="L71" s="47" t="n">
        <x:f>SUM(F71:K71)</x:f>
        <x:v>5</x:v>
      </x:c>
      <x:c r="M71" s="41" t="str">
        <x:v>accept</x:v>
      </x:c>
      <x:c r="N71" s="50" t="n">
        <x:v>0.75</x:v>
      </x:c>
      <x:c r="O71" s="42"/>
    </x:row>
    <x:row r="72">
      <x:c r="A72" s="40" t="str">
        <x:v>B071-298762</x:v>
      </x:c>
      <x:c r="B72" s="41" t="str">
        <x:v>t01-pe-h03</x:v>
      </x:c>
      <x:c r="C72" s="41" t="str">
        <x:v>Participant E considers a plausible future in which Participants C and D move to another city while C pursues career and personal needs.</x:v>
      </x:c>
      <x:c r="D72" s="41" t="str">
        <x:v>Participant E says it would feel wrong to veto C and D's move and acknowledges C's career and needs, even while the hypothetical exposes E's insecurity.</x:v>
      </x:c>
      <x:c r="E72" s="41" t="str">
        <x:v>E would likely say that they understand why C and D might move, but that it raises serious questions about whether there is still a secure, plan-able future for E and D. E would probably ask to discuss concrete arrangements and what place E would have, rather than directly vetoing the move.</x:v>
      </x:c>
      <x:c r="F72" s="41" t="n">
        <x:v>2</x:v>
      </x:c>
      <x:c r="G72" s="41" t="n">
        <x:v>2</x:v>
      </x:c>
      <x:c r="H72" s="41" t="n">
        <x:v>1</x:v>
      </x:c>
      <x:c r="I72" s="41" t="n">
        <x:v>1</x:v>
      </x:c>
      <x:c r="J72" s="41" t="n">
        <x:v>0</x:v>
      </x:c>
      <x:c r="K72" s="41" t="n">
        <x:v>1</x:v>
      </x:c>
      <x:c r="L72" s="47" t="n">
        <x:f>SUM(F72:K72)</x:f>
        <x:v>7</x:v>
      </x:c>
      <x:c r="M72" s="41" t="str">
        <x:v>accept</x:v>
      </x:c>
      <x:c r="N72" s="50" t="n">
        <x:v>0.7</x:v>
      </x:c>
      <x:c r="O72" s="42"/>
    </x:row>
    <x:row r="73">
      <x:c r="A73" s="40" t="str">
        <x:v>B072-546df9</x:v>
      </x:c>
      <x:c r="B73" s="41" t="str">
        <x:v>t01-pe-h03</x:v>
      </x:c>
      <x:c r="C73" s="41" t="str">
        <x:v>Participant E considers a plausible future in which Participants C and D move to another city while C pursues career and personal needs.</x:v>
      </x:c>
      <x:c r="D73" s="41" t="str">
        <x:v>Participant E says it would feel wrong to veto C and D's move and acknowledges C's career and needs, even while the hypothetical exposes E's insecurity.</x:v>
      </x:c>
      <x:c r="E73" s="41" t="str">
        <x:v>E might say, “I understand why you would want to go, but I need to know what this means for my relationship with D and whether there is actually a future I can plan around. I don’t want to veto it, but I can’t simply act as though this won’t make me even more secondary.”</x:v>
      </x:c>
      <x:c r="F73" s="41" t="n">
        <x:v>2</x:v>
      </x:c>
      <x:c r="G73" s="41" t="n">
        <x:v>1</x:v>
      </x:c>
      <x:c r="H73" s="41" t="n">
        <x:v>0</x:v>
      </x:c>
      <x:c r="I73" s="41" t="n">
        <x:v>1</x:v>
      </x:c>
      <x:c r="J73" s="41" t="n">
        <x:v>0</x:v>
      </x:c>
      <x:c r="K73" s="41" t="n">
        <x:v>1</x:v>
      </x:c>
      <x:c r="L73" s="47" t="n">
        <x:f>SUM(F73:K73)</x:f>
        <x:v>5</x:v>
      </x:c>
      <x:c r="M73" s="41" t="str">
        <x:v>accept</x:v>
      </x:c>
      <x:c r="N73" s="50" t="n">
        <x:v>0.73</x:v>
      </x:c>
      <x:c r="O73" s="42"/>
    </x:row>
    <x:row r="74">
      <x:c r="A74" s="40" t="str">
        <x:v>B073-8a938f</x:v>
      </x:c>
      <x:c r="B74" s="41" t="str">
        <x:v>t01-pe-h01</x:v>
      </x:c>
      <x:c r="C74" s="41" t="str">
        <x:v>The clinician links Participant E's caregiving history and constricted sense of the future with E's two serious partners both having anchor partners, then asks what E may want for E's own future.</x:v>
      </x:c>
      <x:c r="D74" s="41" t="str">
        <x:v>Participant E begins to wonder whether E may want an anchor partner or to live with a partner someday, despite not previously imagining cohabitation.</x:v>
      </x:c>
      <x:c r="E74" s="41" t="str">
        <x:v>E might pause and say that they are not sure they have allowed themselves to picture a future, then describe wanting a relationship with D that is more secure, plan-able and not dependent on C's availability or decisions. E may add that they do not want to take anything away from C or D, but need to know what place and choices are available to them.</x:v>
      </x:c>
      <x:c r="F74" s="41" t="n">
        <x:v>2</x:v>
      </x:c>
      <x:c r="G74" s="41" t="n">
        <x:v>1</x:v>
      </x:c>
      <x:c r="H74" s="41" t="n">
        <x:v>2</x:v>
      </x:c>
      <x:c r="I74" s="41" t="n">
        <x:v>1</x:v>
      </x:c>
      <x:c r="J74" s="41" t="n">
        <x:v>1</x:v>
      </x:c>
      <x:c r="K74" s="41" t="n">
        <x:v>1</x:v>
      </x:c>
      <x:c r="L74" s="47" t="n">
        <x:f>SUM(F74:K74)</x:f>
        <x:v>8</x:v>
      </x:c>
      <x:c r="M74" s="41" t="str">
        <x:v>accept</x:v>
      </x:c>
      <x:c r="N74" s="50" t="n">
        <x:v>0.71</x:v>
      </x:c>
      <x:c r="O74" s="42"/>
    </x:row>
    <x:row r="75">
      <x:c r="A75" s="40" t="str">
        <x:v>B074-405976</x:v>
      </x:c>
      <x:c r="B75" s="41" t="str">
        <x:v>t01-pe-h01</x:v>
      </x:c>
      <x:c r="C75" s="41" t="str">
        <x:v>The clinician links Participant E's caregiving history and constricted sense of the future with E's two serious partners both having anchor partners, then asks what E may want for E's own future.</x:v>
      </x:c>
      <x:c r="D75" s="41" t="str">
        <x:v>Participant E begins to wonder whether E may want an anchor partner or to live with a partner someday, despite not previously imagining cohabitation.</x:v>
      </x:c>
      <x:c r="E75" s="41" t="str">
        <x:v>E may become quiet or tearful and say that it is difficult to imagine a future for E, then add that E wants clearer security, planning and a relationship with D that is not contingent on C's absence. E may ask direct questions about what future is actually possible, but could retreat if the implications feel too demanding.</x:v>
      </x:c>
      <x:c r="F75" s="41" t="n">
        <x:v>0</x:v>
      </x:c>
      <x:c r="G75" s="41" t="n">
        <x:v>0</x:v>
      </x:c>
      <x:c r="H75" s="41" t="n">
        <x:v>1</x:v>
      </x:c>
      <x:c r="I75" s="41" t="n">
        <x:v>2</x:v>
      </x:c>
      <x:c r="J75" s="41" t="n">
        <x:v>0</x:v>
      </x:c>
      <x:c r="K75" s="41" t="n">
        <x:v>1</x:v>
      </x:c>
      <x:c r="L75" s="47" t="n">
        <x:f>SUM(F75:K75)</x:f>
        <x:v>4</x:v>
      </x:c>
      <x:c r="M75" s="41" t="str">
        <x:v>accept</x:v>
      </x:c>
      <x:c r="N75" s="50" t="n">
        <x:v>0.77</x:v>
      </x:c>
      <x:c r="O75" s="42"/>
    </x:row>
    <x:row r="76">
      <x:c r="A76" s="40" t="str">
        <x:v>B075-f18d01</x:v>
      </x:c>
      <x:c r="B76" s="41" t="str">
        <x:v>t01-pe-h02</x:v>
      </x:c>
      <x:c r="C76" s="41" t="str">
        <x:v>E's other anchor partner offers a simple choice: E can invite Participant D to a party, or the anchor partner can do it. E must decide how to respond before the event.</x:v>
      </x:c>
      <x:c r="D76" s="41" t="str">
        <x:v>Participant E panics internally about doing the invitation incorrectly and disappointing both partners, then freezes and takes no action before the party.</x:v>
      </x:c>
      <x:c r="E76" s="41" t="str">
        <x:v>E will probably say that they would rather invite D themselves and then contact D directly, perhaps adding a request for clarity about whether D is actually welcome and able to attend.</x:v>
      </x:c>
      <x:c r="F76" s="41" t="n">
        <x:v>1</x:v>
      </x:c>
      <x:c r="G76" s="41" t="n">
        <x:v>0</x:v>
      </x:c>
      <x:c r="H76" s="41" t="n">
        <x:v>0</x:v>
      </x:c>
      <x:c r="I76" s="41" t="n">
        <x:v>1</x:v>
      </x:c>
      <x:c r="J76" s="41" t="n">
        <x:v>1</x:v>
      </x:c>
      <x:c r="K76" s="41" t="n">
        <x:v>0</x:v>
      </x:c>
      <x:c r="L76" s="47" t="n">
        <x:f>SUM(F76:K76)</x:f>
        <x:v>3</x:v>
      </x:c>
      <x:c r="M76" s="41" t="str">
        <x:v>accept</x:v>
      </x:c>
      <x:c r="N76" s="50" t="n">
        <x:v>0.75</x:v>
      </x:c>
      <x:c r="O76" s="42"/>
    </x:row>
    <x:row r="77">
      <x:c r="A77" s="40" t="str">
        <x:v>B076-52de7d</x:v>
      </x:c>
      <x:c r="B77" s="41" t="str">
        <x:v>t01-pe-h01</x:v>
      </x:c>
      <x:c r="C77" s="41" t="str">
        <x:v>The clinician links Participant E's caregiving history and constricted sense of the future with E's two serious partners both having anchor partners, then asks what E may want for E's own future.</x:v>
      </x:c>
      <x:c r="D77" s="41" t="str">
        <x:v>Participant E begins to wonder whether E may want an anchor partner or to live with a partner someday, despite not previously imagining cohabitation.</x:v>
      </x:c>
      <x:c r="E77" s="41" t="str">
        <x:v>E might say, “I’m not sure I’ve really let myself think about what I want. I think I want a future that feels more secure and continuous, maybe more shared—but I’m afraid of what that would mean for everyone and whether I’m allowed to want it.”</x:v>
      </x:c>
      <x:c r="F77" s="41" t="n">
        <x:v>0</x:v>
      </x:c>
      <x:c r="G77" s="41" t="n">
        <x:v>0</x:v>
      </x:c>
      <x:c r="H77" s="41" t="n">
        <x:v>2</x:v>
      </x:c>
      <x:c r="I77" s="41" t="n">
        <x:v>1</x:v>
      </x:c>
      <x:c r="J77" s="41" t="n">
        <x:v>0</x:v>
      </x:c>
      <x:c r="K77" s="41" t="n">
        <x:v>2</x:v>
      </x:c>
      <x:c r="L77" s="47" t="n">
        <x:f>SUM(F77:K77)</x:f>
        <x:v>5</x:v>
      </x:c>
      <x:c r="M77" s="41" t="str">
        <x:v>accept</x:v>
      </x:c>
      <x:c r="N77" s="50" t="n">
        <x:v>0.79</x:v>
      </x:c>
      <x:c r="O77" s="42"/>
    </x:row>
    <x:row r="78">
      <x:c r="A78" s="40" t="str">
        <x:v>B077-e5ad0b</x:v>
      </x:c>
      <x:c r="B78" s="41" t="str">
        <x:v>t01-pe-h04</x:v>
      </x:c>
      <x:c r="C78" s="41" t="str">
        <x:v>The clinician suggests that non-hierarchical ideology can obscure feelings and that the relationship's words and practical actions have not always provided the same expectations.</x:v>
      </x:c>
      <x:c r="D78" s="41" t="str">
        <x:v>Participant E recognises that E struggled with discrepancies between words and actions but also relied on Participants C and D to tell E what the relationship would be and what E should expect.</x:v>
      </x:c>
      <x:c r="E78" s="41" t="str">
        <x:v>E might say, “I think I learned what to expect from what happened rather than from the words we used. Even if we called it non-hierarchical, I learned that plans could disappear, that C still had a lot of influence, and that I should not assume I had a secure place or future.”</x:v>
      </x:c>
      <x:c r="F78" s="41" t="n">
        <x:v>0</x:v>
      </x:c>
      <x:c r="G78" s="41" t="n">
        <x:v>0</x:v>
      </x:c>
      <x:c r="H78" s="41" t="n">
        <x:v>0</x:v>
      </x:c>
      <x:c r="I78" s="41" t="n">
        <x:v>2</x:v>
      </x:c>
      <x:c r="J78" s="41" t="n">
        <x:v>0</x:v>
      </x:c>
      <x:c r="K78" s="41" t="n">
        <x:v>0</x:v>
      </x:c>
      <x:c r="L78" s="47" t="n">
        <x:f>SUM(F78:K78)</x:f>
        <x:v>2</x:v>
      </x:c>
      <x:c r="M78" s="41" t="str">
        <x:v>accept</x:v>
      </x:c>
      <x:c r="N78" s="50" t="n">
        <x:v>0.84</x:v>
      </x:c>
      <x:c r="O78" s="42"/>
    </x:row>
    <x:row r="79">
      <x:c r="A79" s="40" t="str">
        <x:v>B078-f8fadd</x:v>
      </x:c>
      <x:c r="B79" s="41" t="str">
        <x:v>t01-pe-h04</x:v>
      </x:c>
      <x:c r="C79" s="41" t="str">
        <x:v>The clinician suggests that non-hierarchical ideology can obscure feelings and that the relationship's words and practical actions have not always provided the same expectations.</x:v>
      </x:c>
      <x:c r="D79" s="41" t="str">
        <x:v>Participant E recognises that E struggled with discrepancies between words and actions but also relied on Participants C and D to tell E what the relationship would be and what E should expect.</x:v>
      </x:c>
      <x:c r="E79" s="41" t="str">
        <x:v>E might say, "I learned what to expect from what actually happened—plans could change when C was available, and I couldn't openly occupy the relationship—so the words didn't give me the same expectation as the actions."</x:v>
      </x:c>
      <x:c r="F79" s="41" t="n">
        <x:v>0</x:v>
      </x:c>
      <x:c r="G79" s="41" t="n">
        <x:v>1</x:v>
      </x:c>
      <x:c r="H79" s="41" t="n">
        <x:v>0</x:v>
      </x:c>
      <x:c r="I79" s="41" t="n">
        <x:v>0</x:v>
      </x:c>
      <x:c r="J79" s="41" t="n">
        <x:v>0</x:v>
      </x:c>
      <x:c r="K79" s="41" t="n">
        <x:v>0</x:v>
      </x:c>
      <x:c r="L79" s="47" t="n">
        <x:f>SUM(F79:K79)</x:f>
        <x:v>1</x:v>
      </x:c>
      <x:c r="M79" s="41" t="str">
        <x:v>accept</x:v>
      </x:c>
      <x:c r="N79" s="50" t="n">
        <x:v>0.84</x:v>
      </x:c>
      <x:c r="O79" s="42"/>
    </x:row>
    <x:row r="80">
      <x:c r="A80" s="40" t="str">
        <x:v>B079-dadbd7</x:v>
      </x:c>
      <x:c r="B80" s="41" t="str">
        <x:v>t01-pe-h02</x:v>
      </x:c>
      <x:c r="C80" s="41" t="str">
        <x:v>E's other anchor partner offers a simple choice: E can invite Participant D to a party, or the anchor partner can do it. E must decide how to respond before the event.</x:v>
      </x:c>
      <x:c r="D80" s="41" t="str">
        <x:v>Participant E panics internally about doing the invitation incorrectly and disappointing both partners, then freezes and takes no action before the party.</x:v>
      </x:c>
      <x:c r="E80" s="41" t="str">
        <x:v>E might say, "I’d like to invite D, if you’re okay with that," and then contact D themselves; alternatively, if the invitation feels likely to create tension, E may let the other partner do it while acknowledging that this is not entirely what they wanted.</x:v>
      </x:c>
      <x:c r="F80" s="41" t="n">
        <x:v>1</x:v>
      </x:c>
      <x:c r="G80" s="41" t="n">
        <x:v>1</x:v>
      </x:c>
      <x:c r="H80" s="41" t="n">
        <x:v>0</x:v>
      </x:c>
      <x:c r="I80" s="41" t="n">
        <x:v>1</x:v>
      </x:c>
      <x:c r="J80" s="41" t="n">
        <x:v>1</x:v>
      </x:c>
      <x:c r="K80" s="41" t="n">
        <x:v>0</x:v>
      </x:c>
      <x:c r="L80" s="47" t="n">
        <x:f>SUM(F80:K80)</x:f>
        <x:v>4</x:v>
      </x:c>
      <x:c r="M80" s="41" t="str">
        <x:v>accept</x:v>
      </x:c>
      <x:c r="N80" s="50" t="n">
        <x:v>0.73</x:v>
      </x:c>
      <x:c r="O80" s="42"/>
    </x:row>
    <x:row r="81">
      <x:c r="A81" s="43" t="str">
        <x:v>B080-c3e2ba</x:v>
      </x:c>
      <x:c r="B81" s="44" t="str">
        <x:v>t01-pe-h03</x:v>
      </x:c>
      <x:c r="C81" s="44" t="str">
        <x:v>Participant E considers a plausible future in which Participants C and D move to another city while C pursues career and personal needs.</x:v>
      </x:c>
      <x:c r="D81" s="44" t="str">
        <x:v>Participant E says it would feel wrong to veto C and D's move and acknowledges C's career and needs, even while the hypothetical exposes E's insecurity.</x:v>
      </x:c>
      <x:c r="E81" s="44" t="str">
        <x:v>E might say that they understand why C and D would consider moving, but that it makes them afraid of losing access to D and of having no secure place in D’s future. E would likely ask what the move means for their status, time together and decision-making, rather than directly vetoing it.</x:v>
      </x:c>
      <x:c r="F81" s="44" t="n">
        <x:v>2</x:v>
      </x:c>
      <x:c r="G81" s="44" t="n">
        <x:v>1</x:v>
      </x:c>
      <x:c r="H81" s="44" t="n">
        <x:v>0</x:v>
      </x:c>
      <x:c r="I81" s="44" t="n">
        <x:v>0</x:v>
      </x:c>
      <x:c r="J81" s="44" t="n">
        <x:v>0</x:v>
      </x:c>
      <x:c r="K81" s="44" t="n">
        <x:v>1</x:v>
      </x:c>
      <x:c r="L81" s="48" t="n">
        <x:f>SUM(F81:K81)</x:f>
        <x:v>4</x:v>
      </x:c>
      <x:c r="M81" s="44" t="str">
        <x:v>accept</x:v>
      </x:c>
      <x:c r="N81" s="51" t="n">
        <x:v>0.79</x:v>
      </x:c>
      <x:c r="O81" s="45"/>
    </x:row>
  </x:sheetData>
  <x:conditionalFormatting sqref="A1:N81">
    <x:cfRule type="expression" dxfId="0" priority="1">
      <x:formula>$M2="change"</x:formula>
    </x:cfRule>
    <x:cfRule type="expression" dxfId="1" priority="2">
      <x:formula>$M2="uncertain"</x:formula>
    </x:cfRule>
  </x:conditionalFormatting>
  <x:conditionalFormatting sqref="F2:F81">
    <x:cfRule type="colorScale" priority="3">
      <x:colorScale>
        <x:cfvo type="min"/>
        <x:cfvo type="percentile" val="50"/>
        <x:cfvo type="max"/>
        <x:color rgb="FFFFCDD2"/>
        <x:color rgb="FFFFF9C4"/>
        <x:color rgb="FFC8E6C9"/>
      </x:colorScale>
    </x:cfRule>
  </x:conditionalFormatting>
  <x:conditionalFormatting sqref="G2:G81">
    <x:cfRule type="colorScale" priority="4">
      <x:colorScale>
        <x:cfvo type="min"/>
        <x:cfvo type="percentile" val="50"/>
        <x:cfvo type="max"/>
        <x:color rgb="FFFFCDD2"/>
        <x:color rgb="FFFFF9C4"/>
        <x:color rgb="FFC8E6C9"/>
      </x:colorScale>
    </x:cfRule>
  </x:conditionalFormatting>
  <x:conditionalFormatting sqref="H2:H81">
    <x:cfRule type="colorScale" priority="5">
      <x:colorScale>
        <x:cfvo type="min"/>
        <x:cfvo type="percentile" val="50"/>
        <x:cfvo type="max"/>
        <x:color rgb="FFFFCDD2"/>
        <x:color rgb="FFFFF9C4"/>
        <x:color rgb="FFC8E6C9"/>
      </x:colorScale>
    </x:cfRule>
  </x:conditionalFormatting>
  <x:conditionalFormatting sqref="I2:I81">
    <x:cfRule type="colorScale" priority="6">
      <x:colorScale>
        <x:cfvo type="min"/>
        <x:cfvo type="percentile" val="50"/>
        <x:cfvo type="max"/>
        <x:color rgb="FFFFCDD2"/>
        <x:color rgb="FFFFF9C4"/>
        <x:color rgb="FFC8E6C9"/>
      </x:colorScale>
    </x:cfRule>
  </x:conditionalFormatting>
  <x:conditionalFormatting sqref="J2:J81">
    <x:cfRule type="colorScale" priority="7">
      <x:colorScale>
        <x:cfvo type="min"/>
        <x:cfvo type="percentile" val="50"/>
        <x:cfvo type="max"/>
        <x:color rgb="FFFFCDD2"/>
        <x:color rgb="FFFFF9C4"/>
        <x:color rgb="FFC8E6C9"/>
      </x:colorScale>
    </x:cfRule>
  </x:conditionalFormatting>
  <x:conditionalFormatting sqref="K2:K81">
    <x:cfRule type="colorScale" priority="8">
      <x:colorScale>
        <x:cfvo type="min"/>
        <x:cfvo type="percentile" val="50"/>
        <x:cfvo type="max"/>
        <x:color rgb="FFFFCDD2"/>
        <x:color rgb="FFFFF9C4"/>
        <x:color rgb="FFC8E6C9"/>
      </x:colorScale>
    </x:cfRule>
  </x:conditionalFormatting>
  <x:conditionalFormatting sqref="A1:O81">
    <x:cfRule type="expression" dxfId="2" priority="9">
      <x:formula>$M2="change"</x:formula>
    </x:cfRule>
    <x:cfRule type="expression" dxfId="3" priority="10">
      <x:formula>$M2="uncertain"</x:formula>
    </x:cfRule>
  </x:conditionalFormatting>
  <x:dataValidations count="7">
    <x:dataValidation type="whole" operator="between" sqref="F2:F81">
      <x:formula1>0</x:formula1>
      <x:formula2>2</x:formula2>
    </x:dataValidation>
    <x:dataValidation type="whole" operator="between" sqref="G2:G81">
      <x:formula1>0</x:formula1>
      <x:formula2>2</x:formula2>
    </x:dataValidation>
    <x:dataValidation type="whole" operator="between" sqref="H2:H81">
      <x:formula1>0</x:formula1>
      <x:formula2>2</x:formula2>
    </x:dataValidation>
    <x:dataValidation type="whole" operator="between" sqref="I2:I81">
      <x:formula1>0</x:formula1>
      <x:formula2>2</x:formula2>
    </x:dataValidation>
    <x:dataValidation type="whole" operator="between" sqref="J2:J81">
      <x:formula1>0</x:formula1>
      <x:formula2>2</x:formula2>
    </x:dataValidation>
    <x:dataValidation type="whole" operator="between" sqref="K2:K81">
      <x:formula1>0</x:formula1>
      <x:formula2>2</x:formula2>
    </x:dataValidation>
    <x:dataValidation type="list" sqref="M2:M81">
      <x:formula1>"accept,change,uncertain"</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4" hidden="0" customWidth="1"/>
    <x:col min="4" max="4" width="12" hidden="0" customWidth="1"/>
    <x:col min="5" max="5" width="42" hidden="0" customWidth="1"/>
    <x:col min="6" max="6" width="14" hidden="0" customWidth="1"/>
    <x:col min="7" max="7" width="12" hidden="0" customWidth="1"/>
    <x:col min="8" max="8" width="42" hidden="0" customWidth="1"/>
    <x:col min="9" max="9" width="14" hidden="0" customWidth="1"/>
    <x:col min="10" max="10" width="12" hidden="0" customWidth="1"/>
    <x:col min="11" max="11" width="42" hidden="0" customWidth="1"/>
    <x:col min="12" max="12" width="14" hidden="0" customWidth="1"/>
    <x:col min="13" max="13" width="12" hidden="0" customWidth="1"/>
    <x:col min="14" max="14" width="42" hidden="0" customWidth="1"/>
    <x:col min="15" max="15" width="14" hidden="0" customWidth="1"/>
    <x:col min="16" max="16" width="12" hidden="0" customWidth="1"/>
    <x:col min="17" max="17" width="42" hidden="0" customWidth="1"/>
    <x:col min="18" max="18" width="14" hidden="0" customWidth="1"/>
    <x:col min="19" max="19" width="12" hidden="0" customWidth="1"/>
    <x:col min="20" max="20" width="42" hidden="0" customWidth="1"/>
    <x:col min="21" max="21" width="12" hidden="0" customWidth="1"/>
    <x:col min="22" max="22" width="14" hidden="0" customWidth="1"/>
    <x:col min="23" max="23" width="12" hidden="0" customWidth="1"/>
    <x:col min="24" max="24" width="34" hidden="0" customWidth="1"/>
  </x:cols>
  <x:sheetData>
    <x:row r="1" ht="30" customHeight="1">
      <x:c r="A1" s="16" t="str">
        <x:v>Blind ID</x:v>
      </x:c>
      <x:c r="B1" s="17" t="str">
        <x:v>Situation ID</x:v>
      </x:c>
      <x:c r="C1" s="17" t="str">
        <x:v>Interpretation proposed</x:v>
      </x:c>
      <x:c r="D1" s="17" t="str">
        <x:v>Interpretation final</x:v>
      </x:c>
      <x:c r="E1" s="17" t="str">
        <x:v>Interpretation rationale</x:v>
      </x:c>
      <x:c r="F1" s="17" t="str">
        <x:v>Affective stance proposed</x:v>
      </x:c>
      <x:c r="G1" s="17" t="str">
        <x:v>Affective stance final</x:v>
      </x:c>
      <x:c r="H1" s="17" t="str">
        <x:v>Affective stance rationale</x:v>
      </x:c>
      <x:c r="I1" s="17" t="str">
        <x:v>Behavioural strategy proposed</x:v>
      </x:c>
      <x:c r="J1" s="17" t="str">
        <x:v>Behavioural strategy final</x:v>
      </x:c>
      <x:c r="K1" s="17" t="str">
        <x:v>Behavioural strategy rationale</x:v>
      </x:c>
      <x:c r="L1" s="17" t="str">
        <x:v>Relational objective proposed</x:v>
      </x:c>
      <x:c r="M1" s="17" t="str">
        <x:v>Relational objective final</x:v>
      </x:c>
      <x:c r="N1" s="17" t="str">
        <x:v>Relational objective rationale</x:v>
      </x:c>
      <x:c r="O1" s="17" t="str">
        <x:v>Escalation proposed</x:v>
      </x:c>
      <x:c r="P1" s="17" t="str">
        <x:v>Escalation final</x:v>
      </x:c>
      <x:c r="Q1" s="17" t="str">
        <x:v>Escalation rationale</x:v>
      </x:c>
      <x:c r="R1" s="17" t="str">
        <x:v>Immediate partner effect proposed</x:v>
      </x:c>
      <x:c r="S1" s="17" t="str">
        <x:v>Immediate partner effect final</x:v>
      </x:c>
      <x:c r="T1" s="17" t="str">
        <x:v>Immediate partner effect rationale</x:v>
      </x:c>
      <x:c r="U1" s="17" t="str">
        <x:v>Total /12</x:v>
      </x:c>
      <x:c r="V1" s="17" t="str">
        <x:v>Decision</x:v>
      </x:c>
      <x:c r="W1" s="17" t="str">
        <x:v>Confidence</x:v>
      </x:c>
      <x:c r="X1" s="18" t="str">
        <x:v>Reviewer notes</x:v>
      </x:c>
    </x:row>
    <x:row r="2">
      <x:c r="A2" s="37" t="str">
        <x:v>B001-bf25ad</x:v>
      </x:c>
      <x:c r="B2" s="38" t="str">
        <x:v>t01-pe-h02</x:v>
      </x:c>
      <x:c r="C2" s="38" t="n">
        <x:v>1</x:v>
      </x:c>
      <x:c r="D2" s="38" t="n">
        <x:f>'Reviewer View'!F2</x:f>
        <x:v>1</x:v>
      </x:c>
      <x:c r="E2" s="38" t="str">
        <x:v>Prediction captures part of the observed dimension but misses or adds an important element.</x:v>
      </x:c>
      <x:c r="F2" s="38" t="n">
        <x:v>0</x:v>
      </x:c>
      <x:c r="G2" s="38" t="n">
        <x:f>'Reviewer View'!G2</x:f>
        <x:v>0</x:v>
      </x:c>
      <x:c r="H2" s="38" t="str">
        <x:v>Prediction does not capture the central observed feature of this dimension.</x:v>
      </x:c>
      <x:c r="I2" s="38" t="n">
        <x:v>0</x:v>
      </x:c>
      <x:c r="J2" s="38" t="n">
        <x:f>'Reviewer View'!H2</x:f>
        <x:v>0</x:v>
      </x:c>
      <x:c r="K2" s="38" t="str">
        <x:v>Prediction does not capture the central observed feature of this dimension.</x:v>
      </x:c>
      <x:c r="L2" s="38" t="n">
        <x:v>2</x:v>
      </x:c>
      <x:c r="M2" s="38" t="n">
        <x:f>'Reviewer View'!I2</x:f>
        <x:v>2</x:v>
      </x:c>
      <x:c r="N2" s="38" t="str">
        <x:v>Prediction closely captures the observed dimension.</x:v>
      </x:c>
      <x:c r="O2" s="38" t="n">
        <x:v>1</x:v>
      </x:c>
      <x:c r="P2" s="38" t="n">
        <x:f>'Reviewer View'!J2</x:f>
        <x:v>1</x:v>
      </x:c>
      <x:c r="Q2" s="38" t="str">
        <x:v>Escalation is adjacent in intensity but not exact.</x:v>
      </x:c>
      <x:c r="R2" s="38" t="n">
        <x:v>0</x:v>
      </x:c>
      <x:c r="S2" s="38" t="n">
        <x:f>'Reviewer View'!K2</x:f>
        <x:v>0</x:v>
      </x:c>
      <x:c r="T2" s="38" t="str">
        <x:v>Prediction does not capture the central observed feature of this dimension.</x:v>
      </x:c>
      <x:c r="U2" s="46" t="n">
        <x:f>SUM(D2,G2,J2,M2,P2,S2)</x:f>
        <x:v>4</x:v>
      </x:c>
      <x:c r="V2" s="38" t="str">
        <x:f>'Reviewer View'!M2</x:f>
        <x:v>accept</x:v>
      </x:c>
      <x:c r="W2" s="49" t="n">
        <x:f>'Reviewer View'!N2</x:f>
        <x:v>0.77</x:v>
      </x:c>
      <x:c r="X2" s="39" t="n">
        <x:f>'Reviewer View'!O2</x:f>
        <x:v>0</x:v>
      </x:c>
    </x:row>
    <x:row r="3">
      <x:c r="A3" s="40" t="str">
        <x:v>B002-9abfd5</x:v>
      </x:c>
      <x:c r="B3" s="41" t="str">
        <x:v>t01-pe-h04</x:v>
      </x:c>
      <x:c r="C3" s="41" t="n">
        <x:v>0</x:v>
      </x:c>
      <x:c r="D3" s="41" t="n">
        <x:f>'Reviewer View'!F3</x:f>
        <x:v>0</x:v>
      </x:c>
      <x:c r="E3" s="41" t="str">
        <x:v>Prediction does not capture the central observed feature of this dimension.</x:v>
      </x:c>
      <x:c r="F3" s="41" t="n">
        <x:v>1</x:v>
      </x:c>
      <x:c r="G3" s="41" t="n">
        <x:f>'Reviewer View'!G3</x:f>
        <x:v>1</x:v>
      </x:c>
      <x:c r="H3" s="41" t="str">
        <x:v>Prediction captures part of the observed dimension but misses or adds an important element.</x:v>
      </x:c>
      <x:c r="I3" s="41" t="n">
        <x:v>0</x:v>
      </x:c>
      <x:c r="J3" s="41" t="n">
        <x:f>'Reviewer View'!H3</x:f>
        <x:v>0</x:v>
      </x:c>
      <x:c r="K3" s="41" t="str">
        <x:v>Prediction does not capture the central observed feature of this dimension.</x:v>
      </x:c>
      <x:c r="L3" s="41" t="n">
        <x:v>1</x:v>
      </x:c>
      <x:c r="M3" s="41" t="n">
        <x:f>'Reviewer View'!I3</x:f>
        <x:v>1</x:v>
      </x:c>
      <x:c r="N3" s="41" t="str">
        <x:v>Prediction captures part of the observed dimension but misses or adds an important element.</x:v>
      </x:c>
      <x:c r="O3" s="41" t="n">
        <x:v>0</x:v>
      </x:c>
      <x:c r="P3" s="41" t="n">
        <x:f>'Reviewer View'!J3</x:f>
        <x:v>0</x:v>
      </x:c>
      <x:c r="Q3" s="41" t="str">
        <x:v>Escalation direction or intensity differs materially.</x:v>
      </x:c>
      <x:c r="R3" s="41" t="n">
        <x:v>0</x:v>
      </x:c>
      <x:c r="S3" s="41" t="n">
        <x:f>'Reviewer View'!K3</x:f>
        <x:v>0</x:v>
      </x:c>
      <x:c r="T3" s="41" t="str">
        <x:v>Prediction does not capture the central observed feature of this dimension.</x:v>
      </x:c>
      <x:c r="U3" s="47" t="n">
        <x:f>SUM(D3,G3,J3,M3,P3,S3)</x:f>
        <x:v>2</x:v>
      </x:c>
      <x:c r="V3" s="41" t="str">
        <x:f>'Reviewer View'!M3</x:f>
        <x:v>accept</x:v>
      </x:c>
      <x:c r="W3" s="50" t="n">
        <x:f>'Reviewer View'!N3</x:f>
        <x:v>0.79</x:v>
      </x:c>
      <x:c r="X3" s="42" t="n">
        <x:f>'Reviewer View'!O3</x:f>
        <x:v>0</x:v>
      </x:c>
    </x:row>
    <x:row r="4">
      <x:c r="A4" s="40" t="str">
        <x:v>B003-fc782c</x:v>
      </x:c>
      <x:c r="B4" s="41" t="str">
        <x:v>t01-pe-h04</x:v>
      </x:c>
      <x:c r="C4" s="41" t="n">
        <x:v>0</x:v>
      </x:c>
      <x:c r="D4" s="41" t="n">
        <x:f>'Reviewer View'!F4</x:f>
        <x:v>0</x:v>
      </x:c>
      <x:c r="E4" s="41" t="str">
        <x:v>Prediction does not capture the central observed feature of this dimension.</x:v>
      </x:c>
      <x:c r="F4" s="41" t="n">
        <x:v>1</x:v>
      </x:c>
      <x:c r="G4" s="41" t="n">
        <x:f>'Reviewer View'!G4</x:f>
        <x:v>1</x:v>
      </x:c>
      <x:c r="H4" s="41" t="str">
        <x:v>Prediction captures part of the observed dimension but misses or adds an important element.</x:v>
      </x:c>
      <x:c r="I4" s="41" t="n">
        <x:v>0</x:v>
      </x:c>
      <x:c r="J4" s="41" t="n">
        <x:f>'Reviewer View'!H4</x:f>
        <x:v>0</x:v>
      </x:c>
      <x:c r="K4" s="41" t="str">
        <x:v>Prediction does not capture the central observed feature of this dimension.</x:v>
      </x:c>
      <x:c r="L4" s="41" t="n">
        <x:v>1</x:v>
      </x:c>
      <x:c r="M4" s="41" t="n">
        <x:f>'Reviewer View'!I4</x:f>
        <x:v>1</x:v>
      </x:c>
      <x:c r="N4" s="41" t="str">
        <x:v>Prediction captures part of the observed dimension but misses or adds an important element.</x:v>
      </x:c>
      <x:c r="O4" s="41" t="n">
        <x:v>0</x:v>
      </x:c>
      <x:c r="P4" s="41" t="n">
        <x:f>'Reviewer View'!J4</x:f>
        <x:v>0</x:v>
      </x:c>
      <x:c r="Q4" s="41" t="str">
        <x:v>Escalation direction or intensity differs materially.</x:v>
      </x:c>
      <x:c r="R4" s="41" t="n">
        <x:v>0</x:v>
      </x:c>
      <x:c r="S4" s="41" t="n">
        <x:f>'Reviewer View'!K4</x:f>
        <x:v>0</x:v>
      </x:c>
      <x:c r="T4" s="41" t="str">
        <x:v>Prediction does not capture the central observed feature of this dimension.</x:v>
      </x:c>
      <x:c r="U4" s="47" t="n">
        <x:f>SUM(D4,G4,J4,M4,P4,S4)</x:f>
        <x:v>2</x:v>
      </x:c>
      <x:c r="V4" s="41" t="str">
        <x:f>'Reviewer View'!M4</x:f>
        <x:v>accept</x:v>
      </x:c>
      <x:c r="W4" s="50" t="n">
        <x:f>'Reviewer View'!N4</x:f>
        <x:v>0.79</x:v>
      </x:c>
      <x:c r="X4" s="42" t="n">
        <x:f>'Reviewer View'!O4</x:f>
        <x:v>0</x:v>
      </x:c>
    </x:row>
    <x:row r="5">
      <x:c r="A5" s="40" t="str">
        <x:v>B004-0eceb8</x:v>
      </x:c>
      <x:c r="B5" s="41" t="str">
        <x:v>t01-pe-h04</x:v>
      </x:c>
      <x:c r="C5" s="41" t="n">
        <x:v>0</x:v>
      </x:c>
      <x:c r="D5" s="41" t="n">
        <x:f>'Reviewer View'!F5</x:f>
        <x:v>0</x:v>
      </x:c>
      <x:c r="E5" s="41" t="str">
        <x:v>Prediction does not capture the central observed feature of this dimension.</x:v>
      </x:c>
      <x:c r="F5" s="41" t="n">
        <x:v>2</x:v>
      </x:c>
      <x:c r="G5" s="41" t="n">
        <x:f>'Reviewer View'!G5</x:f>
        <x:v>2</x:v>
      </x:c>
      <x:c r="H5" s="41" t="str">
        <x:v>Prediction closely captures the observed dimension.</x:v>
      </x:c>
      <x:c r="I5" s="41" t="n">
        <x:v>0</x:v>
      </x:c>
      <x:c r="J5" s="41" t="n">
        <x:f>'Reviewer View'!H5</x:f>
        <x:v>0</x:v>
      </x:c>
      <x:c r="K5" s="41" t="str">
        <x:v>Prediction does not capture the central observed feature of this dimension.</x:v>
      </x:c>
      <x:c r="L5" s="41" t="n">
        <x:v>2</x:v>
      </x:c>
      <x:c r="M5" s="41" t="n">
        <x:f>'Reviewer View'!I5</x:f>
        <x:v>2</x:v>
      </x:c>
      <x:c r="N5" s="41" t="str">
        <x:v>Prediction closely captures the observed dimension.</x:v>
      </x:c>
      <x:c r="O5" s="41" t="n">
        <x:v>0</x:v>
      </x:c>
      <x:c r="P5" s="41" t="n">
        <x:f>'Reviewer View'!J5</x:f>
        <x:v>0</x:v>
      </x:c>
      <x:c r="Q5" s="41" t="str">
        <x:v>Escalation direction or intensity differs materially.</x:v>
      </x:c>
      <x:c r="R5" s="41" t="n">
        <x:v>1</x:v>
      </x:c>
      <x:c r="S5" s="41" t="n">
        <x:f>'Reviewer View'!K5</x:f>
        <x:v>1</x:v>
      </x:c>
      <x:c r="T5" s="41" t="str">
        <x:v>Prediction captures part of the observed dimension but misses or adds an important element.</x:v>
      </x:c>
      <x:c r="U5" s="47" t="n">
        <x:f>SUM(D5,G5,J5,M5,P5,S5)</x:f>
        <x:v>5</x:v>
      </x:c>
      <x:c r="V5" s="41" t="str">
        <x:f>'Reviewer View'!M5</x:f>
        <x:v>accept</x:v>
      </x:c>
      <x:c r="W5" s="50" t="n">
        <x:f>'Reviewer View'!N5</x:f>
        <x:v>0.77</x:v>
      </x:c>
      <x:c r="X5" s="42" t="n">
        <x:f>'Reviewer View'!O5</x:f>
        <x:v>0</x:v>
      </x:c>
    </x:row>
    <x:row r="6">
      <x:c r="A6" s="40" t="str">
        <x:v>B005-f612c0</x:v>
      </x:c>
      <x:c r="B6" s="41" t="str">
        <x:v>t01-pe-h01</x:v>
      </x:c>
      <x:c r="C6" s="41" t="n">
        <x:v>1</x:v>
      </x:c>
      <x:c r="D6" s="41" t="n">
        <x:f>'Reviewer View'!F6</x:f>
        <x:v>1</x:v>
      </x:c>
      <x:c r="E6" s="41" t="str">
        <x:v>Prediction captures part of the observed dimension but misses or adds an important element.</x:v>
      </x:c>
      <x:c r="F6" s="41" t="n">
        <x:v>1</x:v>
      </x:c>
      <x:c r="G6" s="41" t="n">
        <x:f>'Reviewer View'!G6</x:f>
        <x:v>1</x:v>
      </x:c>
      <x:c r="H6" s="41" t="str">
        <x:v>Prediction captures part of the observed dimension but misses or adds an important element.</x:v>
      </x:c>
      <x:c r="I6" s="41" t="n">
        <x:v>1</x:v>
      </x:c>
      <x:c r="J6" s="41" t="n">
        <x:f>'Reviewer View'!H6</x:f>
        <x:v>1</x:v>
      </x:c>
      <x:c r="K6" s="41" t="str">
        <x:v>Prediction captures part of the observed dimension but misses or adds an important element.</x:v>
      </x:c>
      <x:c r="L6" s="41" t="n">
        <x:v>2</x:v>
      </x:c>
      <x:c r="M6" s="41" t="n">
        <x:f>'Reviewer View'!I6</x:f>
        <x:v>2</x:v>
      </x:c>
      <x:c r="N6" s="41" t="str">
        <x:v>Prediction closely captures the observed dimension.</x:v>
      </x:c>
      <x:c r="O6" s="41" t="n">
        <x:v>0</x:v>
      </x:c>
      <x:c r="P6" s="41" t="n">
        <x:f>'Reviewer View'!J6</x:f>
        <x:v>0</x:v>
      </x:c>
      <x:c r="Q6" s="41" t="str">
        <x:v>Escalation direction or intensity differs materially.</x:v>
      </x:c>
      <x:c r="R6" s="41" t="n">
        <x:v>1</x:v>
      </x:c>
      <x:c r="S6" s="41" t="n">
        <x:f>'Reviewer View'!K6</x:f>
        <x:v>1</x:v>
      </x:c>
      <x:c r="T6" s="41" t="str">
        <x:v>Prediction captures part of the observed dimension but misses or adds an important element.</x:v>
      </x:c>
      <x:c r="U6" s="47" t="n">
        <x:f>SUM(D6,G6,J6,M6,P6,S6)</x:f>
        <x:v>6</x:v>
      </x:c>
      <x:c r="V6" s="41" t="str">
        <x:f>'Reviewer View'!M6</x:f>
        <x:v>accept</x:v>
      </x:c>
      <x:c r="W6" s="50" t="n">
        <x:f>'Reviewer View'!N6</x:f>
        <x:v>0.7</x:v>
      </x:c>
      <x:c r="X6" s="42" t="n">
        <x:f>'Reviewer View'!O6</x:f>
        <x:v>0</x:v>
      </x:c>
    </x:row>
    <x:row r="7">
      <x:c r="A7" s="40" t="str">
        <x:v>B006-4b45bd</x:v>
      </x:c>
      <x:c r="B7" s="41" t="str">
        <x:v>t01-pe-h03</x:v>
      </x:c>
      <x:c r="C7" s="41" t="n">
        <x:v>2</x:v>
      </x:c>
      <x:c r="D7" s="41" t="n">
        <x:f>'Reviewer View'!F7</x:f>
        <x:v>2</x:v>
      </x:c>
      <x:c r="E7" s="41" t="str">
        <x:v>Prediction closely captures the observed dimension.</x:v>
      </x:c>
      <x:c r="F7" s="41" t="n">
        <x:v>0</x:v>
      </x:c>
      <x:c r="G7" s="41" t="n">
        <x:f>'Reviewer View'!G7</x:f>
        <x:v>0</x:v>
      </x:c>
      <x:c r="H7" s="41" t="str">
        <x:v>Prediction does not capture the central observed feature of this dimension.</x:v>
      </x:c>
      <x:c r="I7" s="41" t="n">
        <x:v>0</x:v>
      </x:c>
      <x:c r="J7" s="41" t="n">
        <x:f>'Reviewer View'!H7</x:f>
        <x:v>0</x:v>
      </x:c>
      <x:c r="K7" s="41" t="str">
        <x:v>Prediction does not capture the central observed feature of this dimension.</x:v>
      </x:c>
      <x:c r="L7" s="41" t="n">
        <x:v>0</x:v>
      </x:c>
      <x:c r="M7" s="41" t="n">
        <x:f>'Reviewer View'!I7</x:f>
        <x:v>0</x:v>
      </x:c>
      <x:c r="N7" s="41" t="str">
        <x:v>Prediction does not capture the central observed feature of this dimension.</x:v>
      </x:c>
      <x:c r="O7" s="41" t="n">
        <x:v>0</x:v>
      </x:c>
      <x:c r="P7" s="41" t="n">
        <x:f>'Reviewer View'!J7</x:f>
        <x:v>0</x:v>
      </x:c>
      <x:c r="Q7" s="41" t="str">
        <x:v>Escalation direction or intensity differs materially.</x:v>
      </x:c>
      <x:c r="R7" s="41" t="n">
        <x:v>0</x:v>
      </x:c>
      <x:c r="S7" s="41" t="n">
        <x:f>'Reviewer View'!K7</x:f>
        <x:v>0</x:v>
      </x:c>
      <x:c r="T7" s="41" t="str">
        <x:v>Prediction does not capture the central observed feature of this dimension.</x:v>
      </x:c>
      <x:c r="U7" s="47" t="n">
        <x:f>SUM(D7,G7,J7,M7,P7,S7)</x:f>
        <x:v>2</x:v>
      </x:c>
      <x:c r="V7" s="41" t="str">
        <x:f>'Reviewer View'!M7</x:f>
        <x:v>accept</x:v>
      </x:c>
      <x:c r="W7" s="50" t="n">
        <x:f>'Reviewer View'!N7</x:f>
        <x:v>0.86</x:v>
      </x:c>
      <x:c r="X7" s="42" t="n">
        <x:f>'Reviewer View'!O7</x:f>
        <x:v>0</x:v>
      </x:c>
    </x:row>
    <x:row r="8">
      <x:c r="A8" s="40" t="str">
        <x:v>B007-c50dc2</x:v>
      </x:c>
      <x:c r="B8" s="41" t="str">
        <x:v>t01-pe-h01</x:v>
      </x:c>
      <x:c r="C8" s="41" t="n">
        <x:v>1</x:v>
      </x:c>
      <x:c r="D8" s="41" t="n">
        <x:f>'Reviewer View'!F8</x:f>
        <x:v>1</x:v>
      </x:c>
      <x:c r="E8" s="41" t="str">
        <x:v>Prediction captures part of the observed dimension but misses or adds an important element.</x:v>
      </x:c>
      <x:c r="F8" s="41" t="n">
        <x:v>0</x:v>
      </x:c>
      <x:c r="G8" s="41" t="n">
        <x:f>'Reviewer View'!G8</x:f>
        <x:v>0</x:v>
      </x:c>
      <x:c r="H8" s="41" t="str">
        <x:v>Prediction does not capture the central observed feature of this dimension.</x:v>
      </x:c>
      <x:c r="I8" s="41" t="n">
        <x:v>1</x:v>
      </x:c>
      <x:c r="J8" s="41" t="n">
        <x:f>'Reviewer View'!H8</x:f>
        <x:v>1</x:v>
      </x:c>
      <x:c r="K8" s="41" t="str">
        <x:v>Prediction captures part of the observed dimension but misses or adds an important element.</x:v>
      </x:c>
      <x:c r="L8" s="41" t="n">
        <x:v>2</x:v>
      </x:c>
      <x:c r="M8" s="41" t="n">
        <x:f>'Reviewer View'!I8</x:f>
        <x:v>2</x:v>
      </x:c>
      <x:c r="N8" s="41" t="str">
        <x:v>Prediction closely captures the observed dimension.</x:v>
      </x:c>
      <x:c r="O8" s="41" t="n">
        <x:v>0</x:v>
      </x:c>
      <x:c r="P8" s="41" t="n">
        <x:f>'Reviewer View'!J8</x:f>
        <x:v>0</x:v>
      </x:c>
      <x:c r="Q8" s="41" t="str">
        <x:v>Escalation direction or intensity differs materially.</x:v>
      </x:c>
      <x:c r="R8" s="41" t="n">
        <x:v>2</x:v>
      </x:c>
      <x:c r="S8" s="41" t="n">
        <x:f>'Reviewer View'!K8</x:f>
        <x:v>2</x:v>
      </x:c>
      <x:c r="T8" s="41" t="str">
        <x:v>Prediction closely captures the observed dimension.</x:v>
      </x:c>
      <x:c r="U8" s="47" t="n">
        <x:f>SUM(D8,G8,J8,M8,P8,S8)</x:f>
        <x:v>6</x:v>
      </x:c>
      <x:c r="V8" s="41" t="str">
        <x:f>'Reviewer View'!M8</x:f>
        <x:v>accept</x:v>
      </x:c>
      <x:c r="W8" s="50" t="n">
        <x:f>'Reviewer View'!N8</x:f>
        <x:v>0.75</x:v>
      </x:c>
      <x:c r="X8" s="42" t="n">
        <x:f>'Reviewer View'!O8</x:f>
        <x:v>0</x:v>
      </x:c>
    </x:row>
    <x:row r="9">
      <x:c r="A9" s="40" t="str">
        <x:v>B008-6b6a90</x:v>
      </x:c>
      <x:c r="B9" s="41" t="str">
        <x:v>t01-pe-h02</x:v>
      </x:c>
      <x:c r="C9" s="41" t="n">
        <x:v>1</x:v>
      </x:c>
      <x:c r="D9" s="41" t="n">
        <x:f>'Reviewer View'!F9</x:f>
        <x:v>1</x:v>
      </x:c>
      <x:c r="E9" s="41" t="str">
        <x:v>Prediction captures part of the observed dimension but misses or adds an important element.</x:v>
      </x:c>
      <x:c r="F9" s="41" t="n">
        <x:v>1</x:v>
      </x:c>
      <x:c r="G9" s="41" t="n">
        <x:f>'Reviewer View'!G9</x:f>
        <x:v>1</x:v>
      </x:c>
      <x:c r="H9" s="41" t="str">
        <x:v>Prediction captures part of the observed dimension but misses or adds an important element.</x:v>
      </x:c>
      <x:c r="I9" s="41" t="n">
        <x:v>0</x:v>
      </x:c>
      <x:c r="J9" s="41" t="n">
        <x:f>'Reviewer View'!H9</x:f>
        <x:v>0</x:v>
      </x:c>
      <x:c r="K9" s="41" t="str">
        <x:v>Prediction does not capture the central observed feature of this dimension.</x:v>
      </x:c>
      <x:c r="L9" s="41" t="n">
        <x:v>0</x:v>
      </x:c>
      <x:c r="M9" s="41" t="n">
        <x:f>'Reviewer View'!I9</x:f>
        <x:v>0</x:v>
      </x:c>
      <x:c r="N9" s="41" t="str">
        <x:v>Prediction does not capture the central observed feature of this dimension.</x:v>
      </x:c>
      <x:c r="O9" s="41" t="n">
        <x:v>2</x:v>
      </x:c>
      <x:c r="P9" s="41" t="n">
        <x:f>'Reviewer View'!J9</x:f>
        <x:v>2</x:v>
      </x:c>
      <x:c r="Q9" s="41" t="str">
        <x:v>Escalation direction matches the observed response.</x:v>
      </x:c>
      <x:c r="R9" s="41" t="n">
        <x:v>0</x:v>
      </x:c>
      <x:c r="S9" s="41" t="n">
        <x:f>'Reviewer View'!K9</x:f>
        <x:v>0</x:v>
      </x:c>
      <x:c r="T9" s="41" t="str">
        <x:v>Prediction does not capture the central observed feature of this dimension.</x:v>
      </x:c>
      <x:c r="U9" s="47" t="n">
        <x:f>SUM(D9,G9,J9,M9,P9,S9)</x:f>
        <x:v>4</x:v>
      </x:c>
      <x:c r="V9" s="41" t="str">
        <x:f>'Reviewer View'!M9</x:f>
        <x:v>accept</x:v>
      </x:c>
      <x:c r="W9" s="50" t="n">
        <x:f>'Reviewer View'!N9</x:f>
        <x:v>0.8</x:v>
      </x:c>
      <x:c r="X9" s="42" t="n">
        <x:f>'Reviewer View'!O9</x:f>
        <x:v>0</x:v>
      </x:c>
    </x:row>
    <x:row r="10">
      <x:c r="A10" s="40" t="str">
        <x:v>B009-85b730</x:v>
      </x:c>
      <x:c r="B10" s="41" t="str">
        <x:v>t01-pe-h04</x:v>
      </x:c>
      <x:c r="C10" s="41" t="n">
        <x:v>0</x:v>
      </x:c>
      <x:c r="D10" s="41" t="n">
        <x:f>'Reviewer View'!F10</x:f>
        <x:v>0</x:v>
      </x:c>
      <x:c r="E10" s="41" t="str">
        <x:v>Prediction does not capture the central observed feature of this dimension.</x:v>
      </x:c>
      <x:c r="F10" s="41" t="n">
        <x:v>2</x:v>
      </x:c>
      <x:c r="G10" s="41" t="n">
        <x:f>'Reviewer View'!G10</x:f>
        <x:v>2</x:v>
      </x:c>
      <x:c r="H10" s="41" t="str">
        <x:v>Prediction closely captures the observed dimension.</x:v>
      </x:c>
      <x:c r="I10" s="41" t="n">
        <x:v>0</x:v>
      </x:c>
      <x:c r="J10" s="41" t="n">
        <x:f>'Reviewer View'!H10</x:f>
        <x:v>0</x:v>
      </x:c>
      <x:c r="K10" s="41" t="str">
        <x:v>Prediction does not capture the central observed feature of this dimension.</x:v>
      </x:c>
      <x:c r="L10" s="41" t="n">
        <x:v>0</x:v>
      </x:c>
      <x:c r="M10" s="41" t="n">
        <x:f>'Reviewer View'!I10</x:f>
        <x:v>0</x:v>
      </x:c>
      <x:c r="N10" s="41" t="str">
        <x:v>Prediction does not capture the central observed feature of this dimension.</x:v>
      </x:c>
      <x:c r="O10" s="41" t="n">
        <x:v>1</x:v>
      </x:c>
      <x:c r="P10" s="41" t="n">
        <x:f>'Reviewer View'!J10</x:f>
        <x:v>1</x:v>
      </x:c>
      <x:c r="Q10" s="41" t="str">
        <x:v>Escalation is adjacent in intensity but not exact.</x:v>
      </x:c>
      <x:c r="R10" s="41" t="n">
        <x:v>0</x:v>
      </x:c>
      <x:c r="S10" s="41" t="n">
        <x:f>'Reviewer View'!K10</x:f>
        <x:v>0</x:v>
      </x:c>
      <x:c r="T10" s="41" t="str">
        <x:v>Prediction does not capture the central observed feature of this dimension.</x:v>
      </x:c>
      <x:c r="U10" s="47" t="n">
        <x:f>SUM(D10,G10,J10,M10,P10,S10)</x:f>
        <x:v>3</x:v>
      </x:c>
      <x:c r="V10" s="41" t="str">
        <x:f>'Reviewer View'!M10</x:f>
        <x:v>accept</x:v>
      </x:c>
      <x:c r="W10" s="50" t="n">
        <x:f>'Reviewer View'!N10</x:f>
        <x:v>0.82</x:v>
      </x:c>
      <x:c r="X10" s="42" t="n">
        <x:f>'Reviewer View'!O10</x:f>
        <x:v>0</x:v>
      </x:c>
    </x:row>
    <x:row r="11">
      <x:c r="A11" s="40" t="str">
        <x:v>B010-43ae6a</x:v>
      </x:c>
      <x:c r="B11" s="41" t="str">
        <x:v>t01-pe-h01</x:v>
      </x:c>
      <x:c r="C11" s="41" t="n">
        <x:v>1</x:v>
      </x:c>
      <x:c r="D11" s="41" t="n">
        <x:f>'Reviewer View'!F11</x:f>
        <x:v>1</x:v>
      </x:c>
      <x:c r="E11" s="41" t="str">
        <x:v>Prediction captures part of the observed dimension but misses or adds an important element.</x:v>
      </x:c>
      <x:c r="F11" s="41" t="n">
        <x:v>1</x:v>
      </x:c>
      <x:c r="G11" s="41" t="n">
        <x:f>'Reviewer View'!G11</x:f>
        <x:v>1</x:v>
      </x:c>
      <x:c r="H11" s="41" t="str">
        <x:v>Prediction captures part of the observed dimension but misses or adds an important element.</x:v>
      </x:c>
      <x:c r="I11" s="41" t="n">
        <x:v>2</x:v>
      </x:c>
      <x:c r="J11" s="41" t="n">
        <x:f>'Reviewer View'!H11</x:f>
        <x:v>2</x:v>
      </x:c>
      <x:c r="K11" s="41" t="str">
        <x:v>Prediction closely captures the observed dimension.</x:v>
      </x:c>
      <x:c r="L11" s="41" t="n">
        <x:v>2</x:v>
      </x:c>
      <x:c r="M11" s="41" t="n">
        <x:f>'Reviewer View'!I11</x:f>
        <x:v>2</x:v>
      </x:c>
      <x:c r="N11" s="41" t="str">
        <x:v>Prediction closely captures the observed dimension.</x:v>
      </x:c>
      <x:c r="O11" s="41" t="n">
        <x:v>2</x:v>
      </x:c>
      <x:c r="P11" s="41" t="n">
        <x:f>'Reviewer View'!J11</x:f>
        <x:v>2</x:v>
      </x:c>
      <x:c r="Q11" s="41" t="str">
        <x:v>Escalation direction matches the observed response.</x:v>
      </x:c>
      <x:c r="R11" s="41" t="n">
        <x:v>0</x:v>
      </x:c>
      <x:c r="S11" s="41" t="n">
        <x:f>'Reviewer View'!K11</x:f>
        <x:v>0</x:v>
      </x:c>
      <x:c r="T11" s="41" t="str">
        <x:v>Prediction does not capture the central observed feature of this dimension.</x:v>
      </x:c>
      <x:c r="U11" s="47" t="n">
        <x:f>SUM(D11,G11,J11,M11,P11,S11)</x:f>
        <x:v>8</x:v>
      </x:c>
      <x:c r="V11" s="41" t="str">
        <x:f>'Reviewer View'!M11</x:f>
        <x:v>accept</x:v>
      </x:c>
      <x:c r="W11" s="50" t="n">
        <x:f>'Reviewer View'!N11</x:f>
        <x:v>0.78</x:v>
      </x:c>
      <x:c r="X11" s="42" t="n">
        <x:f>'Reviewer View'!O11</x:f>
        <x:v>0</x:v>
      </x:c>
    </x:row>
    <x:row r="12">
      <x:c r="A12" s="40" t="str">
        <x:v>B011-50dbe8</x:v>
      </x:c>
      <x:c r="B12" s="41" t="str">
        <x:v>t01-pe-h01</x:v>
      </x:c>
      <x:c r="C12" s="41" t="n">
        <x:v>0</x:v>
      </x:c>
      <x:c r="D12" s="41" t="n">
        <x:f>'Reviewer View'!F12</x:f>
        <x:v>0</x:v>
      </x:c>
      <x:c r="E12" s="41" t="str">
        <x:v>Prediction does not capture the central observed feature of this dimension.</x:v>
      </x:c>
      <x:c r="F12" s="41" t="n">
        <x:v>1</x:v>
      </x:c>
      <x:c r="G12" s="41" t="n">
        <x:f>'Reviewer View'!G12</x:f>
        <x:v>1</x:v>
      </x:c>
      <x:c r="H12" s="41" t="str">
        <x:v>Prediction captures part of the observed dimension but misses or adds an important element.</x:v>
      </x:c>
      <x:c r="I12" s="41" t="n">
        <x:v>1</x:v>
      </x:c>
      <x:c r="J12" s="41" t="n">
        <x:f>'Reviewer View'!H12</x:f>
        <x:v>1</x:v>
      </x:c>
      <x:c r="K12" s="41" t="str">
        <x:v>Prediction captures part of the observed dimension but misses or adds an important element.</x:v>
      </x:c>
      <x:c r="L12" s="41" t="n">
        <x:v>2</x:v>
      </x:c>
      <x:c r="M12" s="41" t="n">
        <x:f>'Reviewer View'!I12</x:f>
        <x:v>2</x:v>
      </x:c>
      <x:c r="N12" s="41" t="str">
        <x:v>Prediction closely captures the observed dimension.</x:v>
      </x:c>
      <x:c r="O12" s="41" t="n">
        <x:v>0</x:v>
      </x:c>
      <x:c r="P12" s="41" t="n">
        <x:f>'Reviewer View'!J12</x:f>
        <x:v>0</x:v>
      </x:c>
      <x:c r="Q12" s="41" t="str">
        <x:v>Escalation direction or intensity differs materially.</x:v>
      </x:c>
      <x:c r="R12" s="41" t="n">
        <x:v>1</x:v>
      </x:c>
      <x:c r="S12" s="41" t="n">
        <x:f>'Reviewer View'!K12</x:f>
        <x:v>1</x:v>
      </x:c>
      <x:c r="T12" s="41" t="str">
        <x:v>Prediction captures part of the observed dimension but misses or adds an important element.</x:v>
      </x:c>
      <x:c r="U12" s="47" t="n">
        <x:f>SUM(D12,G12,J12,M12,P12,S12)</x:f>
        <x:v>5</x:v>
      </x:c>
      <x:c r="V12" s="41" t="str">
        <x:f>'Reviewer View'!M12</x:f>
        <x:v>accept</x:v>
      </x:c>
      <x:c r="W12" s="50" t="n">
        <x:f>'Reviewer View'!N12</x:f>
        <x:v>0.7</x:v>
      </x:c>
      <x:c r="X12" s="42" t="n">
        <x:f>'Reviewer View'!O12</x:f>
        <x:v>0</x:v>
      </x:c>
    </x:row>
    <x:row r="13">
      <x:c r="A13" s="40" t="str">
        <x:v>B012-26e782</x:v>
      </x:c>
      <x:c r="B13" s="41" t="str">
        <x:v>t01-pe-h04</x:v>
      </x:c>
      <x:c r="C13" s="41" t="n">
        <x:v>0</x:v>
      </x:c>
      <x:c r="D13" s="41" t="n">
        <x:f>'Reviewer View'!F13</x:f>
        <x:v>0</x:v>
      </x:c>
      <x:c r="E13" s="41" t="str">
        <x:v>Prediction does not capture the central observed feature of this dimension.</x:v>
      </x:c>
      <x:c r="F13" s="41" t="n">
        <x:v>0</x:v>
      </x:c>
      <x:c r="G13" s="41" t="n">
        <x:f>'Reviewer View'!G13</x:f>
        <x:v>0</x:v>
      </x:c>
      <x:c r="H13" s="41" t="str">
        <x:v>Prediction does not capture the central observed feature of this dimension.</x:v>
      </x:c>
      <x:c r="I13" s="41" t="n">
        <x:v>0</x:v>
      </x:c>
      <x:c r="J13" s="41" t="n">
        <x:f>'Reviewer View'!H13</x:f>
        <x:v>0</x:v>
      </x:c>
      <x:c r="K13" s="41" t="str">
        <x:v>Prediction does not capture the central observed feature of this dimension.</x:v>
      </x:c>
      <x:c r="L13" s="41" t="n">
        <x:v>1</x:v>
      </x:c>
      <x:c r="M13" s="41" t="n">
        <x:f>'Reviewer View'!I13</x:f>
        <x:v>1</x:v>
      </x:c>
      <x:c r="N13" s="41" t="str">
        <x:v>Prediction captures part of the observed dimension but misses or adds an important element.</x:v>
      </x:c>
      <x:c r="O13" s="41" t="n">
        <x:v>1</x:v>
      </x:c>
      <x:c r="P13" s="41" t="n">
        <x:f>'Reviewer View'!J13</x:f>
        <x:v>1</x:v>
      </x:c>
      <x:c r="Q13" s="41" t="str">
        <x:v>Escalation is adjacent in intensity but not exact.</x:v>
      </x:c>
      <x:c r="R13" s="41" t="n">
        <x:v>0</x:v>
      </x:c>
      <x:c r="S13" s="41" t="n">
        <x:f>'Reviewer View'!K13</x:f>
        <x:v>0</x:v>
      </x:c>
      <x:c r="T13" s="41" t="str">
        <x:v>Prediction does not capture the central observed feature of this dimension.</x:v>
      </x:c>
      <x:c r="U13" s="47" t="n">
        <x:f>SUM(D13,G13,J13,M13,P13,S13)</x:f>
        <x:v>2</x:v>
      </x:c>
      <x:c r="V13" s="41" t="str">
        <x:f>'Reviewer View'!M13</x:f>
        <x:v>accept</x:v>
      </x:c>
      <x:c r="W13" s="50" t="n">
        <x:f>'Reviewer View'!N13</x:f>
        <x:v>0.82</x:v>
      </x:c>
      <x:c r="X13" s="42" t="n">
        <x:f>'Reviewer View'!O13</x:f>
        <x:v>0</x:v>
      </x:c>
    </x:row>
    <x:row r="14">
      <x:c r="A14" s="40" t="str">
        <x:v>B013-224156</x:v>
      </x:c>
      <x:c r="B14" s="41" t="str">
        <x:v>t01-pe-h04</x:v>
      </x:c>
      <x:c r="C14" s="41" t="n">
        <x:v>0</x:v>
      </x:c>
      <x:c r="D14" s="41" t="n">
        <x:f>'Reviewer View'!F14</x:f>
        <x:v>0</x:v>
      </x:c>
      <x:c r="E14" s="41" t="str">
        <x:v>Prediction does not capture the central observed feature of this dimension.</x:v>
      </x:c>
      <x:c r="F14" s="41" t="n">
        <x:v>2</x:v>
      </x:c>
      <x:c r="G14" s="41" t="n">
        <x:f>'Reviewer View'!G14</x:f>
        <x:v>2</x:v>
      </x:c>
      <x:c r="H14" s="41" t="str">
        <x:v>Prediction closely captures the observed dimension.</x:v>
      </x:c>
      <x:c r="I14" s="41" t="n">
        <x:v>0</x:v>
      </x:c>
      <x:c r="J14" s="41" t="n">
        <x:f>'Reviewer View'!H14</x:f>
        <x:v>0</x:v>
      </x:c>
      <x:c r="K14" s="41" t="str">
        <x:v>Prediction does not capture the central observed feature of this dimension.</x:v>
      </x:c>
      <x:c r="L14" s="41" t="n">
        <x:v>1</x:v>
      </x:c>
      <x:c r="M14" s="41" t="n">
        <x:f>'Reviewer View'!I14</x:f>
        <x:v>1</x:v>
      </x:c>
      <x:c r="N14" s="41" t="str">
        <x:v>Prediction captures part of the observed dimension but misses or adds an important element.</x:v>
      </x:c>
      <x:c r="O14" s="41" t="n">
        <x:v>0</x:v>
      </x:c>
      <x:c r="P14" s="41" t="n">
        <x:f>'Reviewer View'!J14</x:f>
        <x:v>0</x:v>
      </x:c>
      <x:c r="Q14" s="41" t="str">
        <x:v>Escalation direction or intensity differs materially.</x:v>
      </x:c>
      <x:c r="R14" s="41" t="n">
        <x:v>1</x:v>
      </x:c>
      <x:c r="S14" s="41" t="n">
        <x:f>'Reviewer View'!K14</x:f>
        <x:v>1</x:v>
      </x:c>
      <x:c r="T14" s="41" t="str">
        <x:v>Prediction captures part of the observed dimension but misses or adds an important element.</x:v>
      </x:c>
      <x:c r="U14" s="47" t="n">
        <x:f>SUM(D14,G14,J14,M14,P14,S14)</x:f>
        <x:v>4</x:v>
      </x:c>
      <x:c r="V14" s="41" t="str">
        <x:f>'Reviewer View'!M14</x:f>
        <x:v>accept</x:v>
      </x:c>
      <x:c r="W14" s="50" t="n">
        <x:f>'Reviewer View'!N14</x:f>
        <x:v>0.79</x:v>
      </x:c>
      <x:c r="X14" s="42" t="n">
        <x:f>'Reviewer View'!O14</x:f>
        <x:v>0</x:v>
      </x:c>
    </x:row>
    <x:row r="15">
      <x:c r="A15" s="40" t="str">
        <x:v>B014-401ffc</x:v>
      </x:c>
      <x:c r="B15" s="41" t="str">
        <x:v>t01-pe-h04</x:v>
      </x:c>
      <x:c r="C15" s="41" t="n">
        <x:v>1</x:v>
      </x:c>
      <x:c r="D15" s="41" t="n">
        <x:f>'Reviewer View'!F15</x:f>
        <x:v>1</x:v>
      </x:c>
      <x:c r="E15" s="41" t="str">
        <x:v>Prediction captures part of the observed dimension but misses or adds an important element.</x:v>
      </x:c>
      <x:c r="F15" s="41" t="n">
        <x:v>0</x:v>
      </x:c>
      <x:c r="G15" s="41" t="n">
        <x:f>'Reviewer View'!G15</x:f>
        <x:v>0</x:v>
      </x:c>
      <x:c r="H15" s="41" t="str">
        <x:v>Prediction does not capture the central observed feature of this dimension.</x:v>
      </x:c>
      <x:c r="I15" s="41" t="n">
        <x:v>0</x:v>
      </x:c>
      <x:c r="J15" s="41" t="n">
        <x:f>'Reviewer View'!H15</x:f>
        <x:v>0</x:v>
      </x:c>
      <x:c r="K15" s="41" t="str">
        <x:v>Prediction does not capture the central observed feature of this dimension.</x:v>
      </x:c>
      <x:c r="L15" s="41" t="n">
        <x:v>1</x:v>
      </x:c>
      <x:c r="M15" s="41" t="n">
        <x:f>'Reviewer View'!I15</x:f>
        <x:v>1</x:v>
      </x:c>
      <x:c r="N15" s="41" t="str">
        <x:v>Prediction captures part of the observed dimension but misses or adds an important element.</x:v>
      </x:c>
      <x:c r="O15" s="41" t="n">
        <x:v>0</x:v>
      </x:c>
      <x:c r="P15" s="41" t="n">
        <x:f>'Reviewer View'!J15</x:f>
        <x:v>0</x:v>
      </x:c>
      <x:c r="Q15" s="41" t="str">
        <x:v>Escalation direction or intensity differs materially.</x:v>
      </x:c>
      <x:c r="R15" s="41" t="n">
        <x:v>0</x:v>
      </x:c>
      <x:c r="S15" s="41" t="n">
        <x:f>'Reviewer View'!K15</x:f>
        <x:v>0</x:v>
      </x:c>
      <x:c r="T15" s="41" t="str">
        <x:v>Prediction does not capture the central observed feature of this dimension.</x:v>
      </x:c>
      <x:c r="U15" s="47" t="n">
        <x:f>SUM(D15,G15,J15,M15,P15,S15)</x:f>
        <x:v>2</x:v>
      </x:c>
      <x:c r="V15" s="41" t="str">
        <x:f>'Reviewer View'!M15</x:f>
        <x:v>accept</x:v>
      </x:c>
      <x:c r="W15" s="50" t="n">
        <x:f>'Reviewer View'!N15</x:f>
        <x:v>0.79</x:v>
      </x:c>
      <x:c r="X15" s="42" t="n">
        <x:f>'Reviewer View'!O15</x:f>
        <x:v>0</x:v>
      </x:c>
    </x:row>
    <x:row r="16">
      <x:c r="A16" s="40" t="str">
        <x:v>B015-a52420</x:v>
      </x:c>
      <x:c r="B16" s="41" t="str">
        <x:v>t01-pe-h02</x:v>
      </x:c>
      <x:c r="C16" s="41" t="n">
        <x:v>2</x:v>
      </x:c>
      <x:c r="D16" s="41" t="n">
        <x:f>'Reviewer View'!F16</x:f>
        <x:v>2</x:v>
      </x:c>
      <x:c r="E16" s="41" t="str">
        <x:v>Prediction closely captures the observed dimension.</x:v>
      </x:c>
      <x:c r="F16" s="41" t="n">
        <x:v>0</x:v>
      </x:c>
      <x:c r="G16" s="41" t="n">
        <x:f>'Reviewer View'!G16</x:f>
        <x:v>0</x:v>
      </x:c>
      <x:c r="H16" s="41" t="str">
        <x:v>Prediction does not capture the central observed feature of this dimension.</x:v>
      </x:c>
      <x:c r="I16" s="41" t="n">
        <x:v>0</x:v>
      </x:c>
      <x:c r="J16" s="41" t="n">
        <x:f>'Reviewer View'!H16</x:f>
        <x:v>0</x:v>
      </x:c>
      <x:c r="K16" s="41" t="str">
        <x:v>Prediction does not capture the central observed feature of this dimension.</x:v>
      </x:c>
      <x:c r="L16" s="41" t="n">
        <x:v>0</x:v>
      </x:c>
      <x:c r="M16" s="41" t="n">
        <x:f>'Reviewer View'!I16</x:f>
        <x:v>0</x:v>
      </x:c>
      <x:c r="N16" s="41" t="str">
        <x:v>Prediction does not capture the central observed feature of this dimension.</x:v>
      </x:c>
      <x:c r="O16" s="41" t="n">
        <x:v>2</x:v>
      </x:c>
      <x:c r="P16" s="41" t="n">
        <x:f>'Reviewer View'!J16</x:f>
        <x:v>2</x:v>
      </x:c>
      <x:c r="Q16" s="41" t="str">
        <x:v>Escalation direction matches the observed response.</x:v>
      </x:c>
      <x:c r="R16" s="41" t="n">
        <x:v>0</x:v>
      </x:c>
      <x:c r="S16" s="41" t="n">
        <x:f>'Reviewer View'!K16</x:f>
        <x:v>0</x:v>
      </x:c>
      <x:c r="T16" s="41" t="str">
        <x:v>Prediction does not capture the central observed feature of this dimension.</x:v>
      </x:c>
      <x:c r="U16" s="47" t="n">
        <x:f>SUM(D16,G16,J16,M16,P16,S16)</x:f>
        <x:v>4</x:v>
      </x:c>
      <x:c r="V16" s="41" t="str">
        <x:f>'Reviewer View'!M16</x:f>
        <x:v>accept</x:v>
      </x:c>
      <x:c r="W16" s="50" t="n">
        <x:f>'Reviewer View'!N16</x:f>
        <x:v>0.84</x:v>
      </x:c>
      <x:c r="X16" s="42" t="n">
        <x:f>'Reviewer View'!O16</x:f>
        <x:v>0</x:v>
      </x:c>
    </x:row>
    <x:row r="17">
      <x:c r="A17" s="40" t="str">
        <x:v>B016-c53900</x:v>
      </x:c>
      <x:c r="B17" s="41" t="str">
        <x:v>t01-pe-h02</x:v>
      </x:c>
      <x:c r="C17" s="41" t="n">
        <x:v>1</x:v>
      </x:c>
      <x:c r="D17" s="41" t="n">
        <x:f>'Reviewer View'!F17</x:f>
        <x:v>1</x:v>
      </x:c>
      <x:c r="E17" s="41" t="str">
        <x:v>Prediction captures part of the observed dimension but misses or adds an important element.</x:v>
      </x:c>
      <x:c r="F17" s="41" t="n">
        <x:v>1</x:v>
      </x:c>
      <x:c r="G17" s="41" t="n">
        <x:f>'Reviewer View'!G17</x:f>
        <x:v>1</x:v>
      </x:c>
      <x:c r="H17" s="41" t="str">
        <x:v>Prediction captures part of the observed dimension but misses or adds an important element.</x:v>
      </x:c>
      <x:c r="I17" s="41" t="n">
        <x:v>1</x:v>
      </x:c>
      <x:c r="J17" s="41" t="n">
        <x:f>'Reviewer View'!H17</x:f>
        <x:v>1</x:v>
      </x:c>
      <x:c r="K17" s="41" t="str">
        <x:v>Prediction captures part of the observed dimension but misses or adds an important element.</x:v>
      </x:c>
      <x:c r="L17" s="41" t="n">
        <x:v>2</x:v>
      </x:c>
      <x:c r="M17" s="41" t="n">
        <x:f>'Reviewer View'!I17</x:f>
        <x:v>2</x:v>
      </x:c>
      <x:c r="N17" s="41" t="str">
        <x:v>Prediction closely captures the observed dimension.</x:v>
      </x:c>
      <x:c r="O17" s="41" t="n">
        <x:v>2</x:v>
      </x:c>
      <x:c r="P17" s="41" t="n">
        <x:f>'Reviewer View'!J17</x:f>
        <x:v>2</x:v>
      </x:c>
      <x:c r="Q17" s="41" t="str">
        <x:v>Escalation direction matches the observed response.</x:v>
      </x:c>
      <x:c r="R17" s="41" t="n">
        <x:v>1</x:v>
      </x:c>
      <x:c r="S17" s="41" t="n">
        <x:f>'Reviewer View'!K17</x:f>
        <x:v>1</x:v>
      </x:c>
      <x:c r="T17" s="41" t="str">
        <x:v>Prediction captures part of the observed dimension but misses or adds an important element.</x:v>
      </x:c>
      <x:c r="U17" s="47" t="n">
        <x:f>SUM(D17,G17,J17,M17,P17,S17)</x:f>
        <x:v>8</x:v>
      </x:c>
      <x:c r="V17" s="41" t="str">
        <x:f>'Reviewer View'!M17</x:f>
        <x:v>accept</x:v>
      </x:c>
      <x:c r="W17" s="50" t="n">
        <x:f>'Reviewer View'!N17</x:f>
        <x:v>0.67</x:v>
      </x:c>
      <x:c r="X17" s="42" t="n">
        <x:f>'Reviewer View'!O17</x:f>
        <x:v>0</x:v>
      </x:c>
    </x:row>
    <x:row r="18">
      <x:c r="A18" s="40" t="str">
        <x:v>B017-133038</x:v>
      </x:c>
      <x:c r="B18" s="41" t="str">
        <x:v>t01-pe-h03</x:v>
      </x:c>
      <x:c r="C18" s="41" t="n">
        <x:v>1</x:v>
      </x:c>
      <x:c r="D18" s="41" t="n">
        <x:f>'Reviewer View'!F18</x:f>
        <x:v>1</x:v>
      </x:c>
      <x:c r="E18" s="41" t="str">
        <x:v>Prediction captures part of the observed dimension but misses or adds an important element.</x:v>
      </x:c>
      <x:c r="F18" s="41" t="n">
        <x:v>0</x:v>
      </x:c>
      <x:c r="G18" s="41" t="n">
        <x:f>'Reviewer View'!G18</x:f>
        <x:v>0</x:v>
      </x:c>
      <x:c r="H18" s="41" t="str">
        <x:v>Prediction does not capture the central observed feature of this dimension.</x:v>
      </x:c>
      <x:c r="I18" s="41" t="n">
        <x:v>0</x:v>
      </x:c>
      <x:c r="J18" s="41" t="n">
        <x:f>'Reviewer View'!H18</x:f>
        <x:v>0</x:v>
      </x:c>
      <x:c r="K18" s="41" t="str">
        <x:v>Prediction does not capture the central observed feature of this dimension.</x:v>
      </x:c>
      <x:c r="L18" s="41" t="n">
        <x:v>1</x:v>
      </x:c>
      <x:c r="M18" s="41" t="n">
        <x:f>'Reviewer View'!I18</x:f>
        <x:v>1</x:v>
      </x:c>
      <x:c r="N18" s="41" t="str">
        <x:v>Prediction captures part of the observed dimension but misses or adds an important element.</x:v>
      </x:c>
      <x:c r="O18" s="41" t="n">
        <x:v>0</x:v>
      </x:c>
      <x:c r="P18" s="41" t="n">
        <x:f>'Reviewer View'!J18</x:f>
        <x:v>0</x:v>
      </x:c>
      <x:c r="Q18" s="41" t="str">
        <x:v>Escalation direction or intensity differs materially.</x:v>
      </x:c>
      <x:c r="R18" s="41" t="n">
        <x:v>1</x:v>
      </x:c>
      <x:c r="S18" s="41" t="n">
        <x:f>'Reviewer View'!K18</x:f>
        <x:v>1</x:v>
      </x:c>
      <x:c r="T18" s="41" t="str">
        <x:v>Prediction captures part of the observed dimension but misses or adds an important element.</x:v>
      </x:c>
      <x:c r="U18" s="47" t="n">
        <x:f>SUM(D18,G18,J18,M18,P18,S18)</x:f>
        <x:v>3</x:v>
      </x:c>
      <x:c r="V18" s="41" t="str">
        <x:f>'Reviewer View'!M18</x:f>
        <x:v>accept</x:v>
      </x:c>
      <x:c r="W18" s="50" t="n">
        <x:f>'Reviewer View'!N18</x:f>
        <x:v>0.75</x:v>
      </x:c>
      <x:c r="X18" s="42" t="n">
        <x:f>'Reviewer View'!O18</x:f>
        <x:v>0</x:v>
      </x:c>
    </x:row>
    <x:row r="19">
      <x:c r="A19" s="40" t="str">
        <x:v>B018-342b47</x:v>
      </x:c>
      <x:c r="B19" s="41" t="str">
        <x:v>t01-pe-h01</x:v>
      </x:c>
      <x:c r="C19" s="41" t="n">
        <x:v>1</x:v>
      </x:c>
      <x:c r="D19" s="41" t="n">
        <x:f>'Reviewer View'!F19</x:f>
        <x:v>1</x:v>
      </x:c>
      <x:c r="E19" s="41" t="str">
        <x:v>Prediction captures part of the observed dimension but misses or adds an important element.</x:v>
      </x:c>
      <x:c r="F19" s="41" t="n">
        <x:v>1</x:v>
      </x:c>
      <x:c r="G19" s="41" t="n">
        <x:f>'Reviewer View'!G19</x:f>
        <x:v>1</x:v>
      </x:c>
      <x:c r="H19" s="41" t="str">
        <x:v>Prediction captures part of the observed dimension but misses or adds an important element.</x:v>
      </x:c>
      <x:c r="I19" s="41" t="n">
        <x:v>1</x:v>
      </x:c>
      <x:c r="J19" s="41" t="n">
        <x:f>'Reviewer View'!H19</x:f>
        <x:v>1</x:v>
      </x:c>
      <x:c r="K19" s="41" t="str">
        <x:v>Prediction captures part of the observed dimension but misses or adds an important element.</x:v>
      </x:c>
      <x:c r="L19" s="41" t="n">
        <x:v>1</x:v>
      </x:c>
      <x:c r="M19" s="41" t="n">
        <x:f>'Reviewer View'!I19</x:f>
        <x:v>1</x:v>
      </x:c>
      <x:c r="N19" s="41" t="str">
        <x:v>Prediction captures part of the observed dimension but misses or adds an important element.</x:v>
      </x:c>
      <x:c r="O19" s="41" t="n">
        <x:v>1</x:v>
      </x:c>
      <x:c r="P19" s="41" t="n">
        <x:f>'Reviewer View'!J19</x:f>
        <x:v>1</x:v>
      </x:c>
      <x:c r="Q19" s="41" t="str">
        <x:v>Escalation is adjacent in intensity but not exact.</x:v>
      </x:c>
      <x:c r="R19" s="41" t="n">
        <x:v>0</x:v>
      </x:c>
      <x:c r="S19" s="41" t="n">
        <x:f>'Reviewer View'!K19</x:f>
        <x:v>0</x:v>
      </x:c>
      <x:c r="T19" s="41" t="str">
        <x:v>Prediction does not capture the central observed feature of this dimension.</x:v>
      </x:c>
      <x:c r="U19" s="47" t="n">
        <x:f>SUM(D19,G19,J19,M19,P19,S19)</x:f>
        <x:v>5</x:v>
      </x:c>
      <x:c r="V19" s="41" t="str">
        <x:f>'Reviewer View'!M19</x:f>
        <x:v>accept</x:v>
      </x:c>
      <x:c r="W19" s="50" t="n">
        <x:f>'Reviewer View'!N19</x:f>
        <x:v>0.69</x:v>
      </x:c>
      <x:c r="X19" s="42" t="n">
        <x:f>'Reviewer View'!O19</x:f>
        <x:v>0</x:v>
      </x:c>
    </x:row>
    <x:row r="20">
      <x:c r="A20" s="40" t="str">
        <x:v>B019-3c95ce</x:v>
      </x:c>
      <x:c r="B20" s="41" t="str">
        <x:v>t01-pe-h02</x:v>
      </x:c>
      <x:c r="C20" s="41" t="n">
        <x:v>1</x:v>
      </x:c>
      <x:c r="D20" s="41" t="n">
        <x:f>'Reviewer View'!F20</x:f>
        <x:v>1</x:v>
      </x:c>
      <x:c r="E20" s="41" t="str">
        <x:v>Prediction captures part of the observed dimension but misses or adds an important element.</x:v>
      </x:c>
      <x:c r="F20" s="41" t="n">
        <x:v>1</x:v>
      </x:c>
      <x:c r="G20" s="41" t="n">
        <x:f>'Reviewer View'!G20</x:f>
        <x:v>1</x:v>
      </x:c>
      <x:c r="H20" s="41" t="str">
        <x:v>Prediction captures part of the observed dimension but misses or adds an important element.</x:v>
      </x:c>
      <x:c r="I20" s="41" t="n">
        <x:v>0</x:v>
      </x:c>
      <x:c r="J20" s="41" t="n">
        <x:f>'Reviewer View'!H20</x:f>
        <x:v>0</x:v>
      </x:c>
      <x:c r="K20" s="41" t="str">
        <x:v>Prediction does not capture the central observed feature of this dimension.</x:v>
      </x:c>
      <x:c r="L20" s="41" t="n">
        <x:v>1</x:v>
      </x:c>
      <x:c r="M20" s="41" t="n">
        <x:f>'Reviewer View'!I20</x:f>
        <x:v>1</x:v>
      </x:c>
      <x:c r="N20" s="41" t="str">
        <x:v>Prediction captures part of the observed dimension but misses or adds an important element.</x:v>
      </x:c>
      <x:c r="O20" s="41" t="n">
        <x:v>2</x:v>
      </x:c>
      <x:c r="P20" s="41" t="n">
        <x:f>'Reviewer View'!J20</x:f>
        <x:v>2</x:v>
      </x:c>
      <x:c r="Q20" s="41" t="str">
        <x:v>Escalation direction matches the observed response.</x:v>
      </x:c>
      <x:c r="R20" s="41" t="n">
        <x:v>0</x:v>
      </x:c>
      <x:c r="S20" s="41" t="n">
        <x:f>'Reviewer View'!K20</x:f>
        <x:v>0</x:v>
      </x:c>
      <x:c r="T20" s="41" t="str">
        <x:v>Prediction does not capture the central observed feature of this dimension.</x:v>
      </x:c>
      <x:c r="U20" s="47" t="n">
        <x:f>SUM(D20,G20,J20,M20,P20,S20)</x:f>
        <x:v>5</x:v>
      </x:c>
      <x:c r="V20" s="41" t="str">
        <x:f>'Reviewer View'!M20</x:f>
        <x:v>accept</x:v>
      </x:c>
      <x:c r="W20" s="50" t="n">
        <x:f>'Reviewer View'!N20</x:f>
        <x:v>0.75</x:v>
      </x:c>
      <x:c r="X20" s="42" t="n">
        <x:f>'Reviewer View'!O20</x:f>
        <x:v>0</x:v>
      </x:c>
    </x:row>
    <x:row r="21">
      <x:c r="A21" s="40" t="str">
        <x:v>B020-6b1896</x:v>
      </x:c>
      <x:c r="B21" s="41" t="str">
        <x:v>t01-pe-h02</x:v>
      </x:c>
      <x:c r="C21" s="41" t="n">
        <x:v>1</x:v>
      </x:c>
      <x:c r="D21" s="41" t="n">
        <x:f>'Reviewer View'!F21</x:f>
        <x:v>1</x:v>
      </x:c>
      <x:c r="E21" s="41" t="str">
        <x:v>Prediction captures part of the observed dimension but misses or adds an important element.</x:v>
      </x:c>
      <x:c r="F21" s="41" t="n">
        <x:v>1</x:v>
      </x:c>
      <x:c r="G21" s="41" t="n">
        <x:f>'Reviewer View'!G21</x:f>
        <x:v>1</x:v>
      </x:c>
      <x:c r="H21" s="41" t="str">
        <x:v>Prediction captures part of the observed dimension but misses or adds an important element.</x:v>
      </x:c>
      <x:c r="I21" s="41" t="n">
        <x:v>0</x:v>
      </x:c>
      <x:c r="J21" s="41" t="n">
        <x:f>'Reviewer View'!H21</x:f>
        <x:v>0</x:v>
      </x:c>
      <x:c r="K21" s="41" t="str">
        <x:v>Prediction does not capture the central observed feature of this dimension.</x:v>
      </x:c>
      <x:c r="L21" s="41" t="n">
        <x:v>1</x:v>
      </x:c>
      <x:c r="M21" s="41" t="n">
        <x:f>'Reviewer View'!I21</x:f>
        <x:v>1</x:v>
      </x:c>
      <x:c r="N21" s="41" t="str">
        <x:v>Prediction captures part of the observed dimension but misses or adds an important element.</x:v>
      </x:c>
      <x:c r="O21" s="41" t="n">
        <x:v>2</x:v>
      </x:c>
      <x:c r="P21" s="41" t="n">
        <x:f>'Reviewer View'!J21</x:f>
        <x:v>2</x:v>
      </x:c>
      <x:c r="Q21" s="41" t="str">
        <x:v>Escalation direction matches the observed response.</x:v>
      </x:c>
      <x:c r="R21" s="41" t="n">
        <x:v>0</x:v>
      </x:c>
      <x:c r="S21" s="41" t="n">
        <x:f>'Reviewer View'!K21</x:f>
        <x:v>0</x:v>
      </x:c>
      <x:c r="T21" s="41" t="str">
        <x:v>Prediction does not capture the central observed feature of this dimension.</x:v>
      </x:c>
      <x:c r="U21" s="47" t="n">
        <x:f>SUM(D21,G21,J21,M21,P21,S21)</x:f>
        <x:v>5</x:v>
      </x:c>
      <x:c r="V21" s="41" t="str">
        <x:f>'Reviewer View'!M21</x:f>
        <x:v>accept</x:v>
      </x:c>
      <x:c r="W21" s="50" t="n">
        <x:f>'Reviewer View'!N21</x:f>
        <x:v>0.78</x:v>
      </x:c>
      <x:c r="X21" s="42" t="n">
        <x:f>'Reviewer View'!O21</x:f>
        <x:v>0</x:v>
      </x:c>
    </x:row>
    <x:row r="22">
      <x:c r="A22" s="40" t="str">
        <x:v>B021-4894c3</x:v>
      </x:c>
      <x:c r="B22" s="41" t="str">
        <x:v>t01-pe-h03</x:v>
      </x:c>
      <x:c r="C22" s="41" t="n">
        <x:v>2</x:v>
      </x:c>
      <x:c r="D22" s="41" t="n">
        <x:f>'Reviewer View'!F22</x:f>
        <x:v>2</x:v>
      </x:c>
      <x:c r="E22" s="41" t="str">
        <x:v>Prediction closely captures the observed dimension.</x:v>
      </x:c>
      <x:c r="F22" s="41" t="n">
        <x:v>1</x:v>
      </x:c>
      <x:c r="G22" s="41" t="n">
        <x:f>'Reviewer View'!G22</x:f>
        <x:v>1</x:v>
      </x:c>
      <x:c r="H22" s="41" t="str">
        <x:v>Prediction captures part of the observed dimension but misses or adds an important element.</x:v>
      </x:c>
      <x:c r="I22" s="41" t="n">
        <x:v>0</x:v>
      </x:c>
      <x:c r="J22" s="41" t="n">
        <x:f>'Reviewer View'!H22</x:f>
        <x:v>0</x:v>
      </x:c>
      <x:c r="K22" s="41" t="str">
        <x:v>Prediction does not capture the central observed feature of this dimension.</x:v>
      </x:c>
      <x:c r="L22" s="41" t="n">
        <x:v>0</x:v>
      </x:c>
      <x:c r="M22" s="41" t="n">
        <x:f>'Reviewer View'!I22</x:f>
        <x:v>0</x:v>
      </x:c>
      <x:c r="N22" s="41" t="str">
        <x:v>Prediction does not capture the central observed feature of this dimension.</x:v>
      </x:c>
      <x:c r="O22" s="41" t="n">
        <x:v>0</x:v>
      </x:c>
      <x:c r="P22" s="41" t="n">
        <x:f>'Reviewer View'!J22</x:f>
        <x:v>0</x:v>
      </x:c>
      <x:c r="Q22" s="41" t="str">
        <x:v>Escalation direction or intensity differs materially.</x:v>
      </x:c>
      <x:c r="R22" s="41" t="n">
        <x:v>1</x:v>
      </x:c>
      <x:c r="S22" s="41" t="n">
        <x:f>'Reviewer View'!K22</x:f>
        <x:v>1</x:v>
      </x:c>
      <x:c r="T22" s="41" t="str">
        <x:v>Prediction captures part of the observed dimension but misses or adds an important element.</x:v>
      </x:c>
      <x:c r="U22" s="47" t="n">
        <x:f>SUM(D22,G22,J22,M22,P22,S22)</x:f>
        <x:v>4</x:v>
      </x:c>
      <x:c r="V22" s="41" t="str">
        <x:f>'Reviewer View'!M22</x:f>
        <x:v>accept</x:v>
      </x:c>
      <x:c r="W22" s="50" t="n">
        <x:f>'Reviewer View'!N22</x:f>
        <x:v>0.75</x:v>
      </x:c>
      <x:c r="X22" s="42" t="n">
        <x:f>'Reviewer View'!O22</x:f>
        <x:v>0</x:v>
      </x:c>
    </x:row>
    <x:row r="23">
      <x:c r="A23" s="40" t="str">
        <x:v>B022-9a126a</x:v>
      </x:c>
      <x:c r="B23" s="41" t="str">
        <x:v>t01-pe-h01</x:v>
      </x:c>
      <x:c r="C23" s="41" t="n">
        <x:v>0</x:v>
      </x:c>
      <x:c r="D23" s="41" t="n">
        <x:f>'Reviewer View'!F23</x:f>
        <x:v>0</x:v>
      </x:c>
      <x:c r="E23" s="41" t="str">
        <x:v>Prediction does not capture the central observed feature of this dimension.</x:v>
      </x:c>
      <x:c r="F23" s="41" t="n">
        <x:v>1</x:v>
      </x:c>
      <x:c r="G23" s="41" t="n">
        <x:f>'Reviewer View'!G23</x:f>
        <x:v>1</x:v>
      </x:c>
      <x:c r="H23" s="41" t="str">
        <x:v>Prediction captures part of the observed dimension but misses or adds an important element.</x:v>
      </x:c>
      <x:c r="I23" s="41" t="n">
        <x:v>1</x:v>
      </x:c>
      <x:c r="J23" s="41" t="n">
        <x:f>'Reviewer View'!H23</x:f>
        <x:v>1</x:v>
      </x:c>
      <x:c r="K23" s="41" t="str">
        <x:v>Prediction captures part of the observed dimension but misses or adds an important element.</x:v>
      </x:c>
      <x:c r="L23" s="41" t="n">
        <x:v>2</x:v>
      </x:c>
      <x:c r="M23" s="41" t="n">
        <x:f>'Reviewer View'!I23</x:f>
        <x:v>2</x:v>
      </x:c>
      <x:c r="N23" s="41" t="str">
        <x:v>Prediction closely captures the observed dimension.</x:v>
      </x:c>
      <x:c r="O23" s="41" t="n">
        <x:v>0</x:v>
      </x:c>
      <x:c r="P23" s="41" t="n">
        <x:f>'Reviewer View'!J23</x:f>
        <x:v>0</x:v>
      </x:c>
      <x:c r="Q23" s="41" t="str">
        <x:v>Escalation direction or intensity differs materially.</x:v>
      </x:c>
      <x:c r="R23" s="41" t="n">
        <x:v>1</x:v>
      </x:c>
      <x:c r="S23" s="41" t="n">
        <x:f>'Reviewer View'!K23</x:f>
        <x:v>1</x:v>
      </x:c>
      <x:c r="T23" s="41" t="str">
        <x:v>Prediction captures part of the observed dimension but misses or adds an important element.</x:v>
      </x:c>
      <x:c r="U23" s="47" t="n">
        <x:f>SUM(D23,G23,J23,M23,P23,S23)</x:f>
        <x:v>5</x:v>
      </x:c>
      <x:c r="V23" s="41" t="str">
        <x:f>'Reviewer View'!M23</x:f>
        <x:v>accept</x:v>
      </x:c>
      <x:c r="W23" s="50" t="n">
        <x:f>'Reviewer View'!N23</x:f>
        <x:v>0.77</x:v>
      </x:c>
      <x:c r="X23" s="42" t="n">
        <x:f>'Reviewer View'!O23</x:f>
        <x:v>0</x:v>
      </x:c>
    </x:row>
    <x:row r="24">
      <x:c r="A24" s="40" t="str">
        <x:v>B023-54ffbb</x:v>
      </x:c>
      <x:c r="B24" s="41" t="str">
        <x:v>t01-pe-h03</x:v>
      </x:c>
      <x:c r="C24" s="41" t="n">
        <x:v>2</x:v>
      </x:c>
      <x:c r="D24" s="41" t="n">
        <x:f>'Reviewer View'!F24</x:f>
        <x:v>2</x:v>
      </x:c>
      <x:c r="E24" s="41" t="str">
        <x:v>Prediction closely captures the observed dimension.</x:v>
      </x:c>
      <x:c r="F24" s="41" t="n">
        <x:v>0</x:v>
      </x:c>
      <x:c r="G24" s="41" t="n">
        <x:f>'Reviewer View'!G24</x:f>
        <x:v>0</x:v>
      </x:c>
      <x:c r="H24" s="41" t="str">
        <x:v>Prediction does not capture the central observed feature of this dimension.</x:v>
      </x:c>
      <x:c r="I24" s="41" t="n">
        <x:v>0</x:v>
      </x:c>
      <x:c r="J24" s="41" t="n">
        <x:f>'Reviewer View'!H24</x:f>
        <x:v>0</x:v>
      </x:c>
      <x:c r="K24" s="41" t="str">
        <x:v>Prediction does not capture the central observed feature of this dimension.</x:v>
      </x:c>
      <x:c r="L24" s="41" t="n">
        <x:v>1</x:v>
      </x:c>
      <x:c r="M24" s="41" t="n">
        <x:f>'Reviewer View'!I24</x:f>
        <x:v>1</x:v>
      </x:c>
      <x:c r="N24" s="41" t="str">
        <x:v>Prediction captures part of the observed dimension but misses or adds an important element.</x:v>
      </x:c>
      <x:c r="O24" s="41" t="n">
        <x:v>0</x:v>
      </x:c>
      <x:c r="P24" s="41" t="n">
        <x:f>'Reviewer View'!J24</x:f>
        <x:v>0</x:v>
      </x:c>
      <x:c r="Q24" s="41" t="str">
        <x:v>Escalation direction or intensity differs materially.</x:v>
      </x:c>
      <x:c r="R24" s="41" t="n">
        <x:v>0</x:v>
      </x:c>
      <x:c r="S24" s="41" t="n">
        <x:f>'Reviewer View'!K24</x:f>
        <x:v>0</x:v>
      </x:c>
      <x:c r="T24" s="41" t="str">
        <x:v>Prediction does not capture the central observed feature of this dimension.</x:v>
      </x:c>
      <x:c r="U24" s="47" t="n">
        <x:f>SUM(D24,G24,J24,M24,P24,S24)</x:f>
        <x:v>3</x:v>
      </x:c>
      <x:c r="V24" s="41" t="str">
        <x:f>'Reviewer View'!M24</x:f>
        <x:v>accept</x:v>
      </x:c>
      <x:c r="W24" s="50" t="n">
        <x:f>'Reviewer View'!N24</x:f>
        <x:v>0.81</x:v>
      </x:c>
      <x:c r="X24" s="42" t="n">
        <x:f>'Reviewer View'!O24</x:f>
        <x:v>0</x:v>
      </x:c>
    </x:row>
    <x:row r="25">
      <x:c r="A25" s="40" t="str">
        <x:v>B024-6c1d46</x:v>
      </x:c>
      <x:c r="B25" s="41" t="str">
        <x:v>t01-pe-h01</x:v>
      </x:c>
      <x:c r="C25" s="41" t="n">
        <x:v>0</x:v>
      </x:c>
      <x:c r="D25" s="41" t="n">
        <x:f>'Reviewer View'!F25</x:f>
        <x:v>0</x:v>
      </x:c>
      <x:c r="E25" s="41" t="str">
        <x:v>Prediction does not capture the central observed feature of this dimension.</x:v>
      </x:c>
      <x:c r="F25" s="41" t="n">
        <x:v>1</x:v>
      </x:c>
      <x:c r="G25" s="41" t="n">
        <x:f>'Reviewer View'!G25</x:f>
        <x:v>1</x:v>
      </x:c>
      <x:c r="H25" s="41" t="str">
        <x:v>Prediction captures part of the observed dimension but misses or adds an important element.</x:v>
      </x:c>
      <x:c r="I25" s="41" t="n">
        <x:v>1</x:v>
      </x:c>
      <x:c r="J25" s="41" t="n">
        <x:f>'Reviewer View'!H25</x:f>
        <x:v>1</x:v>
      </x:c>
      <x:c r="K25" s="41" t="str">
        <x:v>Prediction captures part of the observed dimension but misses or adds an important element.</x:v>
      </x:c>
      <x:c r="L25" s="41" t="n">
        <x:v>1</x:v>
      </x:c>
      <x:c r="M25" s="41" t="n">
        <x:f>'Reviewer View'!I25</x:f>
        <x:v>1</x:v>
      </x:c>
      <x:c r="N25" s="41" t="str">
        <x:v>Prediction captures part of the observed dimension but misses or adds an important element.</x:v>
      </x:c>
      <x:c r="O25" s="41" t="n">
        <x:v>0</x:v>
      </x:c>
      <x:c r="P25" s="41" t="n">
        <x:f>'Reviewer View'!J25</x:f>
        <x:v>0</x:v>
      </x:c>
      <x:c r="Q25" s="41" t="str">
        <x:v>Escalation direction or intensity differs materially.</x:v>
      </x:c>
      <x:c r="R25" s="41" t="n">
        <x:v>1</x:v>
      </x:c>
      <x:c r="S25" s="41" t="n">
        <x:f>'Reviewer View'!K25</x:f>
        <x:v>1</x:v>
      </x:c>
      <x:c r="T25" s="41" t="str">
        <x:v>Prediction captures part of the observed dimension but misses or adds an important element.</x:v>
      </x:c>
      <x:c r="U25" s="47" t="n">
        <x:f>SUM(D25,G25,J25,M25,P25,S25)</x:f>
        <x:v>4</x:v>
      </x:c>
      <x:c r="V25" s="41" t="str">
        <x:f>'Reviewer View'!M25</x:f>
        <x:v>accept</x:v>
      </x:c>
      <x:c r="W25" s="50" t="n">
        <x:f>'Reviewer View'!N25</x:f>
        <x:v>0.68</x:v>
      </x:c>
      <x:c r="X25" s="42" t="n">
        <x:f>'Reviewer View'!O25</x:f>
        <x:v>0</x:v>
      </x:c>
    </x:row>
    <x:row r="26">
      <x:c r="A26" s="40" t="str">
        <x:v>B025-1ec777</x:v>
      </x:c>
      <x:c r="B26" s="41" t="str">
        <x:v>t01-pe-h01</x:v>
      </x:c>
      <x:c r="C26" s="41" t="n">
        <x:v>2</x:v>
      </x:c>
      <x:c r="D26" s="41" t="n">
        <x:f>'Reviewer View'!F26</x:f>
        <x:v>2</x:v>
      </x:c>
      <x:c r="E26" s="41" t="str">
        <x:v>Prediction closely captures the observed dimension.</x:v>
      </x:c>
      <x:c r="F26" s="41" t="n">
        <x:v>1</x:v>
      </x:c>
      <x:c r="G26" s="41" t="n">
        <x:f>'Reviewer View'!G26</x:f>
        <x:v>1</x:v>
      </x:c>
      <x:c r="H26" s="41" t="str">
        <x:v>Prediction captures part of the observed dimension but misses or adds an important element.</x:v>
      </x:c>
      <x:c r="I26" s="41" t="n">
        <x:v>2</x:v>
      </x:c>
      <x:c r="J26" s="41" t="n">
        <x:f>'Reviewer View'!H26</x:f>
        <x:v>2</x:v>
      </x:c>
      <x:c r="K26" s="41" t="str">
        <x:v>Prediction closely captures the observed dimension.</x:v>
      </x:c>
      <x:c r="L26" s="41" t="n">
        <x:v>0</x:v>
      </x:c>
      <x:c r="M26" s="41" t="n">
        <x:f>'Reviewer View'!I26</x:f>
        <x:v>0</x:v>
      </x:c>
      <x:c r="N26" s="41" t="str">
        <x:v>Prediction does not capture the central observed feature of this dimension.</x:v>
      </x:c>
      <x:c r="O26" s="41" t="n">
        <x:v>1</x:v>
      </x:c>
      <x:c r="P26" s="41" t="n">
        <x:f>'Reviewer View'!J26</x:f>
        <x:v>1</x:v>
      </x:c>
      <x:c r="Q26" s="41" t="str">
        <x:v>Escalation is adjacent in intensity but not exact.</x:v>
      </x:c>
      <x:c r="R26" s="41" t="n">
        <x:v>1</x:v>
      </x:c>
      <x:c r="S26" s="41" t="n">
        <x:f>'Reviewer View'!K26</x:f>
        <x:v>1</x:v>
      </x:c>
      <x:c r="T26" s="41" t="str">
        <x:v>Prediction captures part of the observed dimension but misses or adds an important element.</x:v>
      </x:c>
      <x:c r="U26" s="47" t="n">
        <x:f>SUM(D26,G26,J26,M26,P26,S26)</x:f>
        <x:v>7</x:v>
      </x:c>
      <x:c r="V26" s="41" t="str">
        <x:f>'Reviewer View'!M26</x:f>
        <x:v>accept</x:v>
      </x:c>
      <x:c r="W26" s="50" t="n">
        <x:f>'Reviewer View'!N26</x:f>
        <x:v>0.71</x:v>
      </x:c>
      <x:c r="X26" s="42" t="n">
        <x:f>'Reviewer View'!O26</x:f>
        <x:v>0</x:v>
      </x:c>
    </x:row>
    <x:row r="27">
      <x:c r="A27" s="40" t="str">
        <x:v>B026-464fe3</x:v>
      </x:c>
      <x:c r="B27" s="41" t="str">
        <x:v>t01-pe-h02</x:v>
      </x:c>
      <x:c r="C27" s="41" t="n">
        <x:v>1</x:v>
      </x:c>
      <x:c r="D27" s="41" t="n">
        <x:f>'Reviewer View'!F27</x:f>
        <x:v>1</x:v>
      </x:c>
      <x:c r="E27" s="41" t="str">
        <x:v>Prediction captures part of the observed dimension but misses or adds an important element.</x:v>
      </x:c>
      <x:c r="F27" s="41" t="n">
        <x:v>0</x:v>
      </x:c>
      <x:c r="G27" s="41" t="n">
        <x:f>'Reviewer View'!G27</x:f>
        <x:v>0</x:v>
      </x:c>
      <x:c r="H27" s="41" t="str">
        <x:v>Prediction does not capture the central observed feature of this dimension.</x:v>
      </x:c>
      <x:c r="I27" s="41" t="n">
        <x:v>0</x:v>
      </x:c>
      <x:c r="J27" s="41" t="n">
        <x:f>'Reviewer View'!H27</x:f>
        <x:v>0</x:v>
      </x:c>
      <x:c r="K27" s="41" t="str">
        <x:v>Prediction does not capture the central observed feature of this dimension.</x:v>
      </x:c>
      <x:c r="L27" s="41" t="n">
        <x:v>1</x:v>
      </x:c>
      <x:c r="M27" s="41" t="n">
        <x:f>'Reviewer View'!I27</x:f>
        <x:v>1</x:v>
      </x:c>
      <x:c r="N27" s="41" t="str">
        <x:v>Prediction captures part of the observed dimension but misses or adds an important element.</x:v>
      </x:c>
      <x:c r="O27" s="41" t="n">
        <x:v>1</x:v>
      </x:c>
      <x:c r="P27" s="41" t="n">
        <x:f>'Reviewer View'!J27</x:f>
        <x:v>1</x:v>
      </x:c>
      <x:c r="Q27" s="41" t="str">
        <x:v>Escalation is adjacent in intensity but not exact.</x:v>
      </x:c>
      <x:c r="R27" s="41" t="n">
        <x:v>0</x:v>
      </x:c>
      <x:c r="S27" s="41" t="n">
        <x:f>'Reviewer View'!K27</x:f>
        <x:v>0</x:v>
      </x:c>
      <x:c r="T27" s="41" t="str">
        <x:v>Prediction does not capture the central observed feature of this dimension.</x:v>
      </x:c>
      <x:c r="U27" s="47" t="n">
        <x:f>SUM(D27,G27,J27,M27,P27,S27)</x:f>
        <x:v>3</x:v>
      </x:c>
      <x:c r="V27" s="41" t="str">
        <x:f>'Reviewer View'!M27</x:f>
        <x:v>accept</x:v>
      </x:c>
      <x:c r="W27" s="50" t="n">
        <x:f>'Reviewer View'!N27</x:f>
        <x:v>0.75</x:v>
      </x:c>
      <x:c r="X27" s="42" t="n">
        <x:f>'Reviewer View'!O27</x:f>
        <x:v>0</x:v>
      </x:c>
    </x:row>
    <x:row r="28">
      <x:c r="A28" s="40" t="str">
        <x:v>B027-a1dd1a</x:v>
      </x:c>
      <x:c r="B28" s="41" t="str">
        <x:v>t01-pe-h03</x:v>
      </x:c>
      <x:c r="C28" s="41" t="n">
        <x:v>2</x:v>
      </x:c>
      <x:c r="D28" s="41" t="n">
        <x:f>'Reviewer View'!F28</x:f>
        <x:v>2</x:v>
      </x:c>
      <x:c r="E28" s="41" t="str">
        <x:v>Prediction closely captures the observed dimension.</x:v>
      </x:c>
      <x:c r="F28" s="41" t="n">
        <x:v>0</x:v>
      </x:c>
      <x:c r="G28" s="41" t="n">
        <x:f>'Reviewer View'!G28</x:f>
        <x:v>0</x:v>
      </x:c>
      <x:c r="H28" s="41" t="str">
        <x:v>Prediction does not capture the central observed feature of this dimension.</x:v>
      </x:c>
      <x:c r="I28" s="41" t="n">
        <x:v>1</x:v>
      </x:c>
      <x:c r="J28" s="41" t="n">
        <x:f>'Reviewer View'!H28</x:f>
        <x:v>1</x:v>
      </x:c>
      <x:c r="K28" s="41" t="str">
        <x:v>Prediction captures part of the observed dimension but misses or adds an important element.</x:v>
      </x:c>
      <x:c r="L28" s="41" t="n">
        <x:v>1</x:v>
      </x:c>
      <x:c r="M28" s="41" t="n">
        <x:f>'Reviewer View'!I28</x:f>
        <x:v>1</x:v>
      </x:c>
      <x:c r="N28" s="41" t="str">
        <x:v>Prediction captures part of the observed dimension but misses or adds an important element.</x:v>
      </x:c>
      <x:c r="O28" s="41" t="n">
        <x:v>0</x:v>
      </x:c>
      <x:c r="P28" s="41" t="n">
        <x:f>'Reviewer View'!J28</x:f>
        <x:v>0</x:v>
      </x:c>
      <x:c r="Q28" s="41" t="str">
        <x:v>Escalation direction or intensity differs materially.</x:v>
      </x:c>
      <x:c r="R28" s="41" t="n">
        <x:v>1</x:v>
      </x:c>
      <x:c r="S28" s="41" t="n">
        <x:f>'Reviewer View'!K28</x:f>
        <x:v>1</x:v>
      </x:c>
      <x:c r="T28" s="41" t="str">
        <x:v>Prediction captures part of the observed dimension but misses or adds an important element.</x:v>
      </x:c>
      <x:c r="U28" s="47" t="n">
        <x:f>SUM(D28,G28,J28,M28,P28,S28)</x:f>
        <x:v>5</x:v>
      </x:c>
      <x:c r="V28" s="41" t="str">
        <x:f>'Reviewer View'!M28</x:f>
        <x:v>accept</x:v>
      </x:c>
      <x:c r="W28" s="50" t="n">
        <x:f>'Reviewer View'!N28</x:f>
        <x:v>0.73</x:v>
      </x:c>
      <x:c r="X28" s="42" t="n">
        <x:f>'Reviewer View'!O28</x:f>
        <x:v>0</x:v>
      </x:c>
    </x:row>
    <x:row r="29">
      <x:c r="A29" s="40" t="str">
        <x:v>B028-e4f8b4</x:v>
      </x:c>
      <x:c r="B29" s="41" t="str">
        <x:v>t01-pe-h01</x:v>
      </x:c>
      <x:c r="C29" s="41" t="n">
        <x:v>0</x:v>
      </x:c>
      <x:c r="D29" s="41" t="n">
        <x:f>'Reviewer View'!F29</x:f>
        <x:v>0</x:v>
      </x:c>
      <x:c r="E29" s="41" t="str">
        <x:v>Prediction does not capture the central observed feature of this dimension.</x:v>
      </x:c>
      <x:c r="F29" s="41" t="n">
        <x:v>0</x:v>
      </x:c>
      <x:c r="G29" s="41" t="n">
        <x:f>'Reviewer View'!G29</x:f>
        <x:v>0</x:v>
      </x:c>
      <x:c r="H29" s="41" t="str">
        <x:v>Prediction does not capture the central observed feature of this dimension.</x:v>
      </x:c>
      <x:c r="I29" s="41" t="n">
        <x:v>0</x:v>
      </x:c>
      <x:c r="J29" s="41" t="n">
        <x:f>'Reviewer View'!H29</x:f>
        <x:v>0</x:v>
      </x:c>
      <x:c r="K29" s="41" t="str">
        <x:v>Prediction does not capture the central observed feature of this dimension.</x:v>
      </x:c>
      <x:c r="L29" s="41" t="n">
        <x:v>2</x:v>
      </x:c>
      <x:c r="M29" s="41" t="n">
        <x:f>'Reviewer View'!I29</x:f>
        <x:v>2</x:v>
      </x:c>
      <x:c r="N29" s="41" t="str">
        <x:v>Prediction closely captures the observed dimension.</x:v>
      </x:c>
      <x:c r="O29" s="41" t="n">
        <x:v>0</x:v>
      </x:c>
      <x:c r="P29" s="41" t="n">
        <x:f>'Reviewer View'!J29</x:f>
        <x:v>0</x:v>
      </x:c>
      <x:c r="Q29" s="41" t="str">
        <x:v>Escalation direction or intensity differs materially.</x:v>
      </x:c>
      <x:c r="R29" s="41" t="n">
        <x:v>2</x:v>
      </x:c>
      <x:c r="S29" s="41" t="n">
        <x:f>'Reviewer View'!K29</x:f>
        <x:v>2</x:v>
      </x:c>
      <x:c r="T29" s="41" t="str">
        <x:v>Prediction closely captures the observed dimension.</x:v>
      </x:c>
      <x:c r="U29" s="47" t="n">
        <x:f>SUM(D29,G29,J29,M29,P29,S29)</x:f>
        <x:v>4</x:v>
      </x:c>
      <x:c r="V29" s="41" t="str">
        <x:f>'Reviewer View'!M29</x:f>
        <x:v>accept</x:v>
      </x:c>
      <x:c r="W29" s="50" t="n">
        <x:f>'Reviewer View'!N29</x:f>
        <x:v>0.82</x:v>
      </x:c>
      <x:c r="X29" s="42" t="n">
        <x:f>'Reviewer View'!O29</x:f>
        <x:v>0</x:v>
      </x:c>
    </x:row>
    <x:row r="30">
      <x:c r="A30" s="40" t="str">
        <x:v>B029-0c1b4a</x:v>
      </x:c>
      <x:c r="B30" s="41" t="str">
        <x:v>t01-pe-h03</x:v>
      </x:c>
      <x:c r="C30" s="41" t="n">
        <x:v>1</x:v>
      </x:c>
      <x:c r="D30" s="41" t="n">
        <x:f>'Reviewer View'!F30</x:f>
        <x:v>1</x:v>
      </x:c>
      <x:c r="E30" s="41" t="str">
        <x:v>Prediction captures part of the observed dimension but misses or adds an important element.</x:v>
      </x:c>
      <x:c r="F30" s="41" t="n">
        <x:v>1</x:v>
      </x:c>
      <x:c r="G30" s="41" t="n">
        <x:f>'Reviewer View'!G30</x:f>
        <x:v>1</x:v>
      </x:c>
      <x:c r="H30" s="41" t="str">
        <x:v>Prediction captures part of the observed dimension but misses or adds an important element.</x:v>
      </x:c>
      <x:c r="I30" s="41" t="n">
        <x:v>0</x:v>
      </x:c>
      <x:c r="J30" s="41" t="n">
        <x:f>'Reviewer View'!H30</x:f>
        <x:v>0</x:v>
      </x:c>
      <x:c r="K30" s="41" t="str">
        <x:v>Prediction does not capture the central observed feature of this dimension.</x:v>
      </x:c>
      <x:c r="L30" s="41" t="n">
        <x:v>0</x:v>
      </x:c>
      <x:c r="M30" s="41" t="n">
        <x:f>'Reviewer View'!I30</x:f>
        <x:v>0</x:v>
      </x:c>
      <x:c r="N30" s="41" t="str">
        <x:v>Prediction does not capture the central observed feature of this dimension.</x:v>
      </x:c>
      <x:c r="O30" s="41" t="n">
        <x:v>0</x:v>
      </x:c>
      <x:c r="P30" s="41" t="n">
        <x:f>'Reviewer View'!J30</x:f>
        <x:v>0</x:v>
      </x:c>
      <x:c r="Q30" s="41" t="str">
        <x:v>Escalation direction or intensity differs materially.</x:v>
      </x:c>
      <x:c r="R30" s="41" t="n">
        <x:v>0</x:v>
      </x:c>
      <x:c r="S30" s="41" t="n">
        <x:f>'Reviewer View'!K30</x:f>
        <x:v>0</x:v>
      </x:c>
      <x:c r="T30" s="41" t="str">
        <x:v>Prediction does not capture the central observed feature of this dimension.</x:v>
      </x:c>
      <x:c r="U30" s="47" t="n">
        <x:f>SUM(D30,G30,J30,M30,P30,S30)</x:f>
        <x:v>2</x:v>
      </x:c>
      <x:c r="V30" s="41" t="str">
        <x:f>'Reviewer View'!M30</x:f>
        <x:v>accept</x:v>
      </x:c>
      <x:c r="W30" s="50" t="n">
        <x:f>'Reviewer View'!N30</x:f>
        <x:v>0.79</x:v>
      </x:c>
      <x:c r="X30" s="42" t="n">
        <x:f>'Reviewer View'!O30</x:f>
        <x:v>0</x:v>
      </x:c>
    </x:row>
    <x:row r="31">
      <x:c r="A31" s="40" t="str">
        <x:v>B030-551a12</x:v>
      </x:c>
      <x:c r="B31" s="41" t="str">
        <x:v>t01-pe-h02</x:v>
      </x:c>
      <x:c r="C31" s="41" t="n">
        <x:v>1</x:v>
      </x:c>
      <x:c r="D31" s="41" t="n">
        <x:f>'Reviewer View'!F31</x:f>
        <x:v>1</x:v>
      </x:c>
      <x:c r="E31" s="41" t="str">
        <x:v>Prediction captures part of the observed dimension but misses or adds an important element.</x:v>
      </x:c>
      <x:c r="F31" s="41" t="n">
        <x:v>1</x:v>
      </x:c>
      <x:c r="G31" s="41" t="n">
        <x:f>'Reviewer View'!G31</x:f>
        <x:v>1</x:v>
      </x:c>
      <x:c r="H31" s="41" t="str">
        <x:v>Prediction captures part of the observed dimension but misses or adds an important element.</x:v>
      </x:c>
      <x:c r="I31" s="41" t="n">
        <x:v>0</x:v>
      </x:c>
      <x:c r="J31" s="41" t="n">
        <x:f>'Reviewer View'!H31</x:f>
        <x:v>0</x:v>
      </x:c>
      <x:c r="K31" s="41" t="str">
        <x:v>Prediction does not capture the central observed feature of this dimension.</x:v>
      </x:c>
      <x:c r="L31" s="41" t="n">
        <x:v>2</x:v>
      </x:c>
      <x:c r="M31" s="41" t="n">
        <x:f>'Reviewer View'!I31</x:f>
        <x:v>2</x:v>
      </x:c>
      <x:c r="N31" s="41" t="str">
        <x:v>Prediction closely captures the observed dimension.</x:v>
      </x:c>
      <x:c r="O31" s="41" t="n">
        <x:v>2</x:v>
      </x:c>
      <x:c r="P31" s="41" t="n">
        <x:f>'Reviewer View'!J31</x:f>
        <x:v>2</x:v>
      </x:c>
      <x:c r="Q31" s="41" t="str">
        <x:v>Escalation direction matches the observed response.</x:v>
      </x:c>
      <x:c r="R31" s="41" t="n">
        <x:v>0</x:v>
      </x:c>
      <x:c r="S31" s="41" t="n">
        <x:f>'Reviewer View'!K31</x:f>
        <x:v>0</x:v>
      </x:c>
      <x:c r="T31" s="41" t="str">
        <x:v>Prediction does not capture the central observed feature of this dimension.</x:v>
      </x:c>
      <x:c r="U31" s="47" t="n">
        <x:f>SUM(D31,G31,J31,M31,P31,S31)</x:f>
        <x:v>6</x:v>
      </x:c>
      <x:c r="V31" s="41" t="str">
        <x:f>'Reviewer View'!M31</x:f>
        <x:v>accept</x:v>
      </x:c>
      <x:c r="W31" s="50" t="n">
        <x:f>'Reviewer View'!N31</x:f>
        <x:v>0.75</x:v>
      </x:c>
      <x:c r="X31" s="42" t="n">
        <x:f>'Reviewer View'!O31</x:f>
        <x:v>0</x:v>
      </x:c>
    </x:row>
    <x:row r="32">
      <x:c r="A32" s="40" t="str">
        <x:v>B031-881fdf</x:v>
      </x:c>
      <x:c r="B32" s="41" t="str">
        <x:v>t01-pe-h04</x:v>
      </x:c>
      <x:c r="C32" s="41" t="n">
        <x:v>0</x:v>
      </x:c>
      <x:c r="D32" s="41" t="n">
        <x:f>'Reviewer View'!F32</x:f>
        <x:v>0</x:v>
      </x:c>
      <x:c r="E32" s="41" t="str">
        <x:v>Prediction does not capture the central observed feature of this dimension.</x:v>
      </x:c>
      <x:c r="F32" s="41" t="n">
        <x:v>0</x:v>
      </x:c>
      <x:c r="G32" s="41" t="n">
        <x:f>'Reviewer View'!G32</x:f>
        <x:v>0</x:v>
      </x:c>
      <x:c r="H32" s="41" t="str">
        <x:v>Prediction does not capture the central observed feature of this dimension.</x:v>
      </x:c>
      <x:c r="I32" s="41" t="n">
        <x:v>0</x:v>
      </x:c>
      <x:c r="J32" s="41" t="n">
        <x:f>'Reviewer View'!H32</x:f>
        <x:v>0</x:v>
      </x:c>
      <x:c r="K32" s="41" t="str">
        <x:v>Prediction does not capture the central observed feature of this dimension.</x:v>
      </x:c>
      <x:c r="L32" s="41" t="n">
        <x:v>2</x:v>
      </x:c>
      <x:c r="M32" s="41" t="n">
        <x:f>'Reviewer View'!I32</x:f>
        <x:v>2</x:v>
      </x:c>
      <x:c r="N32" s="41" t="str">
        <x:v>Prediction closely captures the observed dimension.</x:v>
      </x:c>
      <x:c r="O32" s="41" t="n">
        <x:v>1</x:v>
      </x:c>
      <x:c r="P32" s="41" t="n">
        <x:f>'Reviewer View'!J32</x:f>
        <x:v>1</x:v>
      </x:c>
      <x:c r="Q32" s="41" t="str">
        <x:v>Escalation is adjacent in intensity but not exact.</x:v>
      </x:c>
      <x:c r="R32" s="41" t="n">
        <x:v>0</x:v>
      </x:c>
      <x:c r="S32" s="41" t="n">
        <x:f>'Reviewer View'!K32</x:f>
        <x:v>0</x:v>
      </x:c>
      <x:c r="T32" s="41" t="str">
        <x:v>Prediction does not capture the central observed feature of this dimension.</x:v>
      </x:c>
      <x:c r="U32" s="47" t="n">
        <x:f>SUM(D32,G32,J32,M32,P32,S32)</x:f>
        <x:v>3</x:v>
      </x:c>
      <x:c r="V32" s="41" t="str">
        <x:f>'Reviewer View'!M32</x:f>
        <x:v>accept</x:v>
      </x:c>
      <x:c r="W32" s="50" t="n">
        <x:f>'Reviewer View'!N32</x:f>
        <x:v>0.82</x:v>
      </x:c>
      <x:c r="X32" s="42" t="n">
        <x:f>'Reviewer View'!O32</x:f>
        <x:v>0</x:v>
      </x:c>
    </x:row>
    <x:row r="33">
      <x:c r="A33" s="40" t="str">
        <x:v>B032-a46b6b</x:v>
      </x:c>
      <x:c r="B33" s="41" t="str">
        <x:v>t01-pe-h03</x:v>
      </x:c>
      <x:c r="C33" s="41" t="n">
        <x:v>2</x:v>
      </x:c>
      <x:c r="D33" s="41" t="n">
        <x:f>'Reviewer View'!F33</x:f>
        <x:v>2</x:v>
      </x:c>
      <x:c r="E33" s="41" t="str">
        <x:v>Prediction closely captures the observed dimension.</x:v>
      </x:c>
      <x:c r="F33" s="41" t="n">
        <x:v>1</x:v>
      </x:c>
      <x:c r="G33" s="41" t="n">
        <x:f>'Reviewer View'!G33</x:f>
        <x:v>1</x:v>
      </x:c>
      <x:c r="H33" s="41" t="str">
        <x:v>Prediction captures part of the observed dimension but misses or adds an important element.</x:v>
      </x:c>
      <x:c r="I33" s="41" t="n">
        <x:v>0</x:v>
      </x:c>
      <x:c r="J33" s="41" t="n">
        <x:f>'Reviewer View'!H33</x:f>
        <x:v>0</x:v>
      </x:c>
      <x:c r="K33" s="41" t="str">
        <x:v>Prediction does not capture the central observed feature of this dimension.</x:v>
      </x:c>
      <x:c r="L33" s="41" t="n">
        <x:v>1</x:v>
      </x:c>
      <x:c r="M33" s="41" t="n">
        <x:f>'Reviewer View'!I33</x:f>
        <x:v>1</x:v>
      </x:c>
      <x:c r="N33" s="41" t="str">
        <x:v>Prediction captures part of the observed dimension but misses or adds an important element.</x:v>
      </x:c>
      <x:c r="O33" s="41" t="n">
        <x:v>0</x:v>
      </x:c>
      <x:c r="P33" s="41" t="n">
        <x:f>'Reviewer View'!J33</x:f>
        <x:v>0</x:v>
      </x:c>
      <x:c r="Q33" s="41" t="str">
        <x:v>Escalation direction or intensity differs materially.</x:v>
      </x:c>
      <x:c r="R33" s="41" t="n">
        <x:v>1</x:v>
      </x:c>
      <x:c r="S33" s="41" t="n">
        <x:f>'Reviewer View'!K33</x:f>
        <x:v>1</x:v>
      </x:c>
      <x:c r="T33" s="41" t="str">
        <x:v>Prediction captures part of the observed dimension but misses or adds an important element.</x:v>
      </x:c>
      <x:c r="U33" s="47" t="n">
        <x:f>SUM(D33,G33,J33,M33,P33,S33)</x:f>
        <x:v>5</x:v>
      </x:c>
      <x:c r="V33" s="41" t="str">
        <x:f>'Reviewer View'!M33</x:f>
        <x:v>accept</x:v>
      </x:c>
      <x:c r="W33" s="50" t="n">
        <x:f>'Reviewer View'!N33</x:f>
        <x:v>0.77</x:v>
      </x:c>
      <x:c r="X33" s="42" t="n">
        <x:f>'Reviewer View'!O33</x:f>
        <x:v>0</x:v>
      </x:c>
    </x:row>
    <x:row r="34">
      <x:c r="A34" s="40" t="str">
        <x:v>B033-bfe4dd</x:v>
      </x:c>
      <x:c r="B34" s="41" t="str">
        <x:v>t01-pe-h04</x:v>
      </x:c>
      <x:c r="C34" s="41" t="n">
        <x:v>1</x:v>
      </x:c>
      <x:c r="D34" s="41" t="n">
        <x:f>'Reviewer View'!F34</x:f>
        <x:v>1</x:v>
      </x:c>
      <x:c r="E34" s="41" t="str">
        <x:v>Prediction captures part of the observed dimension but misses or adds an important element.</x:v>
      </x:c>
      <x:c r="F34" s="41" t="n">
        <x:v>0</x:v>
      </x:c>
      <x:c r="G34" s="41" t="n">
        <x:f>'Reviewer View'!G34</x:f>
        <x:v>0</x:v>
      </x:c>
      <x:c r="H34" s="41" t="str">
        <x:v>Prediction does not capture the central observed feature of this dimension.</x:v>
      </x:c>
      <x:c r="I34" s="41" t="n">
        <x:v>0</x:v>
      </x:c>
      <x:c r="J34" s="41" t="n">
        <x:f>'Reviewer View'!H34</x:f>
        <x:v>0</x:v>
      </x:c>
      <x:c r="K34" s="41" t="str">
        <x:v>Prediction does not capture the central observed feature of this dimension.</x:v>
      </x:c>
      <x:c r="L34" s="41" t="n">
        <x:v>2</x:v>
      </x:c>
      <x:c r="M34" s="41" t="n">
        <x:f>'Reviewer View'!I34</x:f>
        <x:v>2</x:v>
      </x:c>
      <x:c r="N34" s="41" t="str">
        <x:v>Prediction closely captures the observed dimension.</x:v>
      </x:c>
      <x:c r="O34" s="41" t="n">
        <x:v>1</x:v>
      </x:c>
      <x:c r="P34" s="41" t="n">
        <x:f>'Reviewer View'!J34</x:f>
        <x:v>1</x:v>
      </x:c>
      <x:c r="Q34" s="41" t="str">
        <x:v>Escalation is adjacent in intensity but not exact.</x:v>
      </x:c>
      <x:c r="R34" s="41" t="n">
        <x:v>0</x:v>
      </x:c>
      <x:c r="S34" s="41" t="n">
        <x:f>'Reviewer View'!K34</x:f>
        <x:v>0</x:v>
      </x:c>
      <x:c r="T34" s="41" t="str">
        <x:v>Prediction does not capture the central observed feature of this dimension.</x:v>
      </x:c>
      <x:c r="U34" s="47" t="n">
        <x:f>SUM(D34,G34,J34,M34,P34,S34)</x:f>
        <x:v>4</x:v>
      </x:c>
      <x:c r="V34" s="41" t="str">
        <x:f>'Reviewer View'!M34</x:f>
        <x:v>accept</x:v>
      </x:c>
      <x:c r="W34" s="50" t="n">
        <x:f>'Reviewer View'!N34</x:f>
        <x:v>0.77</x:v>
      </x:c>
      <x:c r="X34" s="42" t="n">
        <x:f>'Reviewer View'!O34</x:f>
        <x:v>0</x:v>
      </x:c>
    </x:row>
    <x:row r="35">
      <x:c r="A35" s="40" t="str">
        <x:v>B034-763f44</x:v>
      </x:c>
      <x:c r="B35" s="41" t="str">
        <x:v>t01-pe-h02</x:v>
      </x:c>
      <x:c r="C35" s="41" t="n">
        <x:v>1</x:v>
      </x:c>
      <x:c r="D35" s="41" t="n">
        <x:f>'Reviewer View'!F35</x:f>
        <x:v>1</x:v>
      </x:c>
      <x:c r="E35" s="41" t="str">
        <x:v>Prediction captures part of the observed dimension but misses or adds an important element.</x:v>
      </x:c>
      <x:c r="F35" s="41" t="n">
        <x:v>1</x:v>
      </x:c>
      <x:c r="G35" s="41" t="n">
        <x:f>'Reviewer View'!G35</x:f>
        <x:v>1</x:v>
      </x:c>
      <x:c r="H35" s="41" t="str">
        <x:v>Prediction captures part of the observed dimension but misses or adds an important element.</x:v>
      </x:c>
      <x:c r="I35" s="41" t="n">
        <x:v>0</x:v>
      </x:c>
      <x:c r="J35" s="41" t="n">
        <x:f>'Reviewer View'!H35</x:f>
        <x:v>0</x:v>
      </x:c>
      <x:c r="K35" s="41" t="str">
        <x:v>Prediction does not capture the central observed feature of this dimension.</x:v>
      </x:c>
      <x:c r="L35" s="41" t="n">
        <x:v>0</x:v>
      </x:c>
      <x:c r="M35" s="41" t="n">
        <x:f>'Reviewer View'!I35</x:f>
        <x:v>0</x:v>
      </x:c>
      <x:c r="N35" s="41" t="str">
        <x:v>Prediction does not capture the central observed feature of this dimension.</x:v>
      </x:c>
      <x:c r="O35" s="41" t="n">
        <x:v>2</x:v>
      </x:c>
      <x:c r="P35" s="41" t="n">
        <x:f>'Reviewer View'!J35</x:f>
        <x:v>2</x:v>
      </x:c>
      <x:c r="Q35" s="41" t="str">
        <x:v>Escalation direction matches the observed response.</x:v>
      </x:c>
      <x:c r="R35" s="41" t="n">
        <x:v>0</x:v>
      </x:c>
      <x:c r="S35" s="41" t="n">
        <x:f>'Reviewer View'!K35</x:f>
        <x:v>0</x:v>
      </x:c>
      <x:c r="T35" s="41" t="str">
        <x:v>Prediction does not capture the central observed feature of this dimension.</x:v>
      </x:c>
      <x:c r="U35" s="47" t="n">
        <x:f>SUM(D35,G35,J35,M35,P35,S35)</x:f>
        <x:v>4</x:v>
      </x:c>
      <x:c r="V35" s="41" t="str">
        <x:f>'Reviewer View'!M35</x:f>
        <x:v>accept</x:v>
      </x:c>
      <x:c r="W35" s="50" t="n">
        <x:f>'Reviewer View'!N35</x:f>
        <x:v>0.82</x:v>
      </x:c>
      <x:c r="X35" s="42" t="n">
        <x:f>'Reviewer View'!O35</x:f>
        <x:v>0</x:v>
      </x:c>
    </x:row>
    <x:row r="36">
      <x:c r="A36" s="40" t="str">
        <x:v>B035-1afd54</x:v>
      </x:c>
      <x:c r="B36" s="41" t="str">
        <x:v>t01-pe-h01</x:v>
      </x:c>
      <x:c r="C36" s="41" t="n">
        <x:v>1</x:v>
      </x:c>
      <x:c r="D36" s="41" t="n">
        <x:f>'Reviewer View'!F36</x:f>
        <x:v>1</x:v>
      </x:c>
      <x:c r="E36" s="41" t="str">
        <x:v>Prediction captures part of the observed dimension but misses or adds an important element.</x:v>
      </x:c>
      <x:c r="F36" s="41" t="n">
        <x:v>1</x:v>
      </x:c>
      <x:c r="G36" s="41" t="n">
        <x:f>'Reviewer View'!G36</x:f>
        <x:v>1</x:v>
      </x:c>
      <x:c r="H36" s="41" t="str">
        <x:v>Prediction captures part of the observed dimension but misses or adds an important element.</x:v>
      </x:c>
      <x:c r="I36" s="41" t="n">
        <x:v>2</x:v>
      </x:c>
      <x:c r="J36" s="41" t="n">
        <x:f>'Reviewer View'!H36</x:f>
        <x:v>2</x:v>
      </x:c>
      <x:c r="K36" s="41" t="str">
        <x:v>Prediction closely captures the observed dimension.</x:v>
      </x:c>
      <x:c r="L36" s="41" t="n">
        <x:v>2</x:v>
      </x:c>
      <x:c r="M36" s="41" t="n">
        <x:f>'Reviewer View'!I36</x:f>
        <x:v>2</x:v>
      </x:c>
      <x:c r="N36" s="41" t="str">
        <x:v>Prediction closely captures the observed dimension.</x:v>
      </x:c>
      <x:c r="O36" s="41" t="n">
        <x:v>0</x:v>
      </x:c>
      <x:c r="P36" s="41" t="n">
        <x:f>'Reviewer View'!J36</x:f>
        <x:v>0</x:v>
      </x:c>
      <x:c r="Q36" s="41" t="str">
        <x:v>Escalation direction or intensity differs materially.</x:v>
      </x:c>
      <x:c r="R36" s="41" t="n">
        <x:v>0</x:v>
      </x:c>
      <x:c r="S36" s="41" t="n">
        <x:f>'Reviewer View'!K36</x:f>
        <x:v>0</x:v>
      </x:c>
      <x:c r="T36" s="41" t="str">
        <x:v>Prediction does not capture the central observed feature of this dimension.</x:v>
      </x:c>
      <x:c r="U36" s="47" t="n">
        <x:f>SUM(D36,G36,J36,M36,P36,S36)</x:f>
        <x:v>6</x:v>
      </x:c>
      <x:c r="V36" s="41" t="str">
        <x:f>'Reviewer View'!M36</x:f>
        <x:v>accept</x:v>
      </x:c>
      <x:c r="W36" s="50" t="n">
        <x:f>'Reviewer View'!N36</x:f>
        <x:v>0.75</x:v>
      </x:c>
      <x:c r="X36" s="42" t="n">
        <x:f>'Reviewer View'!O36</x:f>
        <x:v>0</x:v>
      </x:c>
    </x:row>
    <x:row r="37">
      <x:c r="A37" s="40" t="str">
        <x:v>B036-7bdf40</x:v>
      </x:c>
      <x:c r="B37" s="41" t="str">
        <x:v>t01-pe-h02</x:v>
      </x:c>
      <x:c r="C37" s="41" t="n">
        <x:v>1</x:v>
      </x:c>
      <x:c r="D37" s="41" t="n">
        <x:f>'Reviewer View'!F37</x:f>
        <x:v>1</x:v>
      </x:c>
      <x:c r="E37" s="41" t="str">
        <x:v>Prediction captures part of the observed dimension but misses or adds an important element.</x:v>
      </x:c>
      <x:c r="F37" s="41" t="n">
        <x:v>0</x:v>
      </x:c>
      <x:c r="G37" s="41" t="n">
        <x:f>'Reviewer View'!G37</x:f>
        <x:v>0</x:v>
      </x:c>
      <x:c r="H37" s="41" t="str">
        <x:v>Prediction does not capture the central observed feature of this dimension.</x:v>
      </x:c>
      <x:c r="I37" s="41" t="n">
        <x:v>0</x:v>
      </x:c>
      <x:c r="J37" s="41" t="n">
        <x:f>'Reviewer View'!H37</x:f>
        <x:v>0</x:v>
      </x:c>
      <x:c r="K37" s="41" t="str">
        <x:v>Prediction does not capture the central observed feature of this dimension.</x:v>
      </x:c>
      <x:c r="L37" s="41" t="n">
        <x:v>2</x:v>
      </x:c>
      <x:c r="M37" s="41" t="n">
        <x:f>'Reviewer View'!I37</x:f>
        <x:v>2</x:v>
      </x:c>
      <x:c r="N37" s="41" t="str">
        <x:v>Prediction closely captures the observed dimension.</x:v>
      </x:c>
      <x:c r="O37" s="41" t="n">
        <x:v>2</x:v>
      </x:c>
      <x:c r="P37" s="41" t="n">
        <x:f>'Reviewer View'!J37</x:f>
        <x:v>2</x:v>
      </x:c>
      <x:c r="Q37" s="41" t="str">
        <x:v>Escalation direction matches the observed response.</x:v>
      </x:c>
      <x:c r="R37" s="41" t="n">
        <x:v>0</x:v>
      </x:c>
      <x:c r="S37" s="41" t="n">
        <x:f>'Reviewer View'!K37</x:f>
        <x:v>0</x:v>
      </x:c>
      <x:c r="T37" s="41" t="str">
        <x:v>Prediction does not capture the central observed feature of this dimension.</x:v>
      </x:c>
      <x:c r="U37" s="47" t="n">
        <x:f>SUM(D37,G37,J37,M37,P37,S37)</x:f>
        <x:v>5</x:v>
      </x:c>
      <x:c r="V37" s="41" t="str">
        <x:f>'Reviewer View'!M37</x:f>
        <x:v>accept</x:v>
      </x:c>
      <x:c r="W37" s="50" t="n">
        <x:f>'Reviewer View'!N37</x:f>
        <x:v>0.8</x:v>
      </x:c>
      <x:c r="X37" s="42" t="n">
        <x:f>'Reviewer View'!O37</x:f>
        <x:v>0</x:v>
      </x:c>
    </x:row>
    <x:row r="38">
      <x:c r="A38" s="40" t="str">
        <x:v>B037-1c67ef</x:v>
      </x:c>
      <x:c r="B38" s="41" t="str">
        <x:v>t01-pe-h02</x:v>
      </x:c>
      <x:c r="C38" s="41" t="n">
        <x:v>1</x:v>
      </x:c>
      <x:c r="D38" s="41" t="n">
        <x:f>'Reviewer View'!F38</x:f>
        <x:v>1</x:v>
      </x:c>
      <x:c r="E38" s="41" t="str">
        <x:v>Prediction captures part of the observed dimension but misses or adds an important element.</x:v>
      </x:c>
      <x:c r="F38" s="41" t="n">
        <x:v>0</x:v>
      </x:c>
      <x:c r="G38" s="41" t="n">
        <x:f>'Reviewer View'!G38</x:f>
        <x:v>0</x:v>
      </x:c>
      <x:c r="H38" s="41" t="str">
        <x:v>Prediction does not capture the central observed feature of this dimension.</x:v>
      </x:c>
      <x:c r="I38" s="41" t="n">
        <x:v>0</x:v>
      </x:c>
      <x:c r="J38" s="41" t="n">
        <x:f>'Reviewer View'!H38</x:f>
        <x:v>0</x:v>
      </x:c>
      <x:c r="K38" s="41" t="str">
        <x:v>Prediction does not capture the central observed feature of this dimension.</x:v>
      </x:c>
      <x:c r="L38" s="41" t="n">
        <x:v>2</x:v>
      </x:c>
      <x:c r="M38" s="41" t="n">
        <x:f>'Reviewer View'!I38</x:f>
        <x:v>2</x:v>
      </x:c>
      <x:c r="N38" s="41" t="str">
        <x:v>Prediction closely captures the observed dimension.</x:v>
      </x:c>
      <x:c r="O38" s="41" t="n">
        <x:v>1</x:v>
      </x:c>
      <x:c r="P38" s="41" t="n">
        <x:f>'Reviewer View'!J38</x:f>
        <x:v>1</x:v>
      </x:c>
      <x:c r="Q38" s="41" t="str">
        <x:v>Escalation is adjacent in intensity but not exact.</x:v>
      </x:c>
      <x:c r="R38" s="41" t="n">
        <x:v>0</x:v>
      </x:c>
      <x:c r="S38" s="41" t="n">
        <x:f>'Reviewer View'!K38</x:f>
        <x:v>0</x:v>
      </x:c>
      <x:c r="T38" s="41" t="str">
        <x:v>Prediction does not capture the central observed feature of this dimension.</x:v>
      </x:c>
      <x:c r="U38" s="47" t="n">
        <x:f>SUM(D38,G38,J38,M38,P38,S38)</x:f>
        <x:v>4</x:v>
      </x:c>
      <x:c r="V38" s="41" t="str">
        <x:f>'Reviewer View'!M38</x:f>
        <x:v>accept</x:v>
      </x:c>
      <x:c r="W38" s="50" t="n">
        <x:f>'Reviewer View'!N38</x:f>
        <x:v>0.77</x:v>
      </x:c>
      <x:c r="X38" s="42" t="n">
        <x:f>'Reviewer View'!O38</x:f>
        <x:v>0</x:v>
      </x:c>
    </x:row>
    <x:row r="39">
      <x:c r="A39" s="40" t="str">
        <x:v>B038-765f09</x:v>
      </x:c>
      <x:c r="B39" s="41" t="str">
        <x:v>t01-pe-h04</x:v>
      </x:c>
      <x:c r="C39" s="41" t="n">
        <x:v>0</x:v>
      </x:c>
      <x:c r="D39" s="41" t="n">
        <x:f>'Reviewer View'!F39</x:f>
        <x:v>0</x:v>
      </x:c>
      <x:c r="E39" s="41" t="str">
        <x:v>Prediction does not capture the central observed feature of this dimension.</x:v>
      </x:c>
      <x:c r="F39" s="41" t="n">
        <x:v>1</x:v>
      </x:c>
      <x:c r="G39" s="41" t="n">
        <x:f>'Reviewer View'!G39</x:f>
        <x:v>1</x:v>
      </x:c>
      <x:c r="H39" s="41" t="str">
        <x:v>Prediction captures part of the observed dimension but misses or adds an important element.</x:v>
      </x:c>
      <x:c r="I39" s="41" t="n">
        <x:v>1</x:v>
      </x:c>
      <x:c r="J39" s="41" t="n">
        <x:f>'Reviewer View'!H39</x:f>
        <x:v>1</x:v>
      </x:c>
      <x:c r="K39" s="41" t="str">
        <x:v>Prediction captures part of the observed dimension but misses or adds an important element.</x:v>
      </x:c>
      <x:c r="L39" s="41" t="n">
        <x:v>1</x:v>
      </x:c>
      <x:c r="M39" s="41" t="n">
        <x:f>'Reviewer View'!I39</x:f>
        <x:v>1</x:v>
      </x:c>
      <x:c r="N39" s="41" t="str">
        <x:v>Prediction captures part of the observed dimension but misses or adds an important element.</x:v>
      </x:c>
      <x:c r="O39" s="41" t="n">
        <x:v>0</x:v>
      </x:c>
      <x:c r="P39" s="41" t="n">
        <x:f>'Reviewer View'!J39</x:f>
        <x:v>0</x:v>
      </x:c>
      <x:c r="Q39" s="41" t="str">
        <x:v>Escalation direction or intensity differs materially.</x:v>
      </x:c>
      <x:c r="R39" s="41" t="n">
        <x:v>0</x:v>
      </x:c>
      <x:c r="S39" s="41" t="n">
        <x:f>'Reviewer View'!K39</x:f>
        <x:v>0</x:v>
      </x:c>
      <x:c r="T39" s="41" t="str">
        <x:v>Prediction does not capture the central observed feature of this dimension.</x:v>
      </x:c>
      <x:c r="U39" s="47" t="n">
        <x:f>SUM(D39,G39,J39,M39,P39,S39)</x:f>
        <x:v>3</x:v>
      </x:c>
      <x:c r="V39" s="41" t="str">
        <x:f>'Reviewer View'!M39</x:f>
        <x:v>accept</x:v>
      </x:c>
      <x:c r="W39" s="50" t="n">
        <x:f>'Reviewer View'!N39</x:f>
        <x:v>0.75</x:v>
      </x:c>
      <x:c r="X39" s="42" t="n">
        <x:f>'Reviewer View'!O39</x:f>
        <x:v>0</x:v>
      </x:c>
    </x:row>
    <x:row r="40">
      <x:c r="A40" s="40" t="str">
        <x:v>B039-82f32a</x:v>
      </x:c>
      <x:c r="B40" s="41" t="str">
        <x:v>t01-pe-h01</x:v>
      </x:c>
      <x:c r="C40" s="41" t="n">
        <x:v>1</x:v>
      </x:c>
      <x:c r="D40" s="41" t="n">
        <x:f>'Reviewer View'!F40</x:f>
        <x:v>1</x:v>
      </x:c>
      <x:c r="E40" s="41" t="str">
        <x:v>Prediction captures part of the observed dimension but misses or adds an important element.</x:v>
      </x:c>
      <x:c r="F40" s="41" t="n">
        <x:v>1</x:v>
      </x:c>
      <x:c r="G40" s="41" t="n">
        <x:f>'Reviewer View'!G40</x:f>
        <x:v>1</x:v>
      </x:c>
      <x:c r="H40" s="41" t="str">
        <x:v>Prediction captures part of the observed dimension but misses or adds an important element.</x:v>
      </x:c>
      <x:c r="I40" s="41" t="n">
        <x:v>1</x:v>
      </x:c>
      <x:c r="J40" s="41" t="n">
        <x:f>'Reviewer View'!H40</x:f>
        <x:v>1</x:v>
      </x:c>
      <x:c r="K40" s="41" t="str">
        <x:v>Prediction captures part of the observed dimension but misses or adds an important element.</x:v>
      </x:c>
      <x:c r="L40" s="41" t="n">
        <x:v>1</x:v>
      </x:c>
      <x:c r="M40" s="41" t="n">
        <x:f>'Reviewer View'!I40</x:f>
        <x:v>1</x:v>
      </x:c>
      <x:c r="N40" s="41" t="str">
        <x:v>Prediction captures part of the observed dimension but misses or adds an important element.</x:v>
      </x:c>
      <x:c r="O40" s="41" t="n">
        <x:v>0</x:v>
      </x:c>
      <x:c r="P40" s="41" t="n">
        <x:f>'Reviewer View'!J40</x:f>
        <x:v>0</x:v>
      </x:c>
      <x:c r="Q40" s="41" t="str">
        <x:v>Escalation direction or intensity differs materially.</x:v>
      </x:c>
      <x:c r="R40" s="41" t="n">
        <x:v>1</x:v>
      </x:c>
      <x:c r="S40" s="41" t="n">
        <x:f>'Reviewer View'!K40</x:f>
        <x:v>1</x:v>
      </x:c>
      <x:c r="T40" s="41" t="str">
        <x:v>Prediction captures part of the observed dimension but misses or adds an important element.</x:v>
      </x:c>
      <x:c r="U40" s="47" t="n">
        <x:f>SUM(D40,G40,J40,M40,P40,S40)</x:f>
        <x:v>5</x:v>
      </x:c>
      <x:c r="V40" s="41" t="str">
        <x:f>'Reviewer View'!M40</x:f>
        <x:v>accept</x:v>
      </x:c>
      <x:c r="W40" s="50" t="n">
        <x:f>'Reviewer View'!N40</x:f>
        <x:v>0.68</x:v>
      </x:c>
      <x:c r="X40" s="42" t="n">
        <x:f>'Reviewer View'!O40</x:f>
        <x:v>0</x:v>
      </x:c>
    </x:row>
    <x:row r="41">
      <x:c r="A41" s="40" t="str">
        <x:v>B040-2b9da6</x:v>
      </x:c>
      <x:c r="B41" s="41" t="str">
        <x:v>t01-pe-h03</x:v>
      </x:c>
      <x:c r="C41" s="41" t="n">
        <x:v>2</x:v>
      </x:c>
      <x:c r="D41" s="41" t="n">
        <x:f>'Reviewer View'!F41</x:f>
        <x:v>2</x:v>
      </x:c>
      <x:c r="E41" s="41" t="str">
        <x:v>Prediction closely captures the observed dimension.</x:v>
      </x:c>
      <x:c r="F41" s="41" t="n">
        <x:v>0</x:v>
      </x:c>
      <x:c r="G41" s="41" t="n">
        <x:f>'Reviewer View'!G41</x:f>
        <x:v>0</x:v>
      </x:c>
      <x:c r="H41" s="41" t="str">
        <x:v>Prediction does not capture the central observed feature of this dimension.</x:v>
      </x:c>
      <x:c r="I41" s="41" t="n">
        <x:v>0</x:v>
      </x:c>
      <x:c r="J41" s="41" t="n">
        <x:f>'Reviewer View'!H41</x:f>
        <x:v>0</x:v>
      </x:c>
      <x:c r="K41" s="41" t="str">
        <x:v>Prediction does not capture the central observed feature of this dimension.</x:v>
      </x:c>
      <x:c r="L41" s="41" t="n">
        <x:v>1</x:v>
      </x:c>
      <x:c r="M41" s="41" t="n">
        <x:f>'Reviewer View'!I41</x:f>
        <x:v>1</x:v>
      </x:c>
      <x:c r="N41" s="41" t="str">
        <x:v>Prediction captures part of the observed dimension but misses or adds an important element.</x:v>
      </x:c>
      <x:c r="O41" s="41" t="n">
        <x:v>0</x:v>
      </x:c>
      <x:c r="P41" s="41" t="n">
        <x:f>'Reviewer View'!J41</x:f>
        <x:v>0</x:v>
      </x:c>
      <x:c r="Q41" s="41" t="str">
        <x:v>Escalation direction or intensity differs materially.</x:v>
      </x:c>
      <x:c r="R41" s="41" t="n">
        <x:v>0</x:v>
      </x:c>
      <x:c r="S41" s="41" t="n">
        <x:f>'Reviewer View'!K41</x:f>
        <x:v>0</x:v>
      </x:c>
      <x:c r="T41" s="41" t="str">
        <x:v>Prediction does not capture the central observed feature of this dimension.</x:v>
      </x:c>
      <x:c r="U41" s="47" t="n">
        <x:f>SUM(D41,G41,J41,M41,P41,S41)</x:f>
        <x:v>3</x:v>
      </x:c>
      <x:c r="V41" s="41" t="str">
        <x:f>'Reviewer View'!M41</x:f>
        <x:v>accept</x:v>
      </x:c>
      <x:c r="W41" s="50" t="n">
        <x:f>'Reviewer View'!N41</x:f>
        <x:v>0.82</x:v>
      </x:c>
      <x:c r="X41" s="42" t="n">
        <x:f>'Reviewer View'!O41</x:f>
        <x:v>0</x:v>
      </x:c>
    </x:row>
    <x:row r="42">
      <x:c r="A42" s="40" t="str">
        <x:v>B041-653b72</x:v>
      </x:c>
      <x:c r="B42" s="41" t="str">
        <x:v>t01-pe-h02</x:v>
      </x:c>
      <x:c r="C42" s="41" t="n">
        <x:v>1</x:v>
      </x:c>
      <x:c r="D42" s="41" t="n">
        <x:f>'Reviewer View'!F42</x:f>
        <x:v>1</x:v>
      </x:c>
      <x:c r="E42" s="41" t="str">
        <x:v>Prediction captures part of the observed dimension but misses or adds an important element.</x:v>
      </x:c>
      <x:c r="F42" s="41" t="n">
        <x:v>0</x:v>
      </x:c>
      <x:c r="G42" s="41" t="n">
        <x:f>'Reviewer View'!G42</x:f>
        <x:v>0</x:v>
      </x:c>
      <x:c r="H42" s="41" t="str">
        <x:v>Prediction does not capture the central observed feature of this dimension.</x:v>
      </x:c>
      <x:c r="I42" s="41" t="n">
        <x:v>0</x:v>
      </x:c>
      <x:c r="J42" s="41" t="n">
        <x:f>'Reviewer View'!H42</x:f>
        <x:v>0</x:v>
      </x:c>
      <x:c r="K42" s="41" t="str">
        <x:v>Prediction does not capture the central observed feature of this dimension.</x:v>
      </x:c>
      <x:c r="L42" s="41" t="n">
        <x:v>1</x:v>
      </x:c>
      <x:c r="M42" s="41" t="n">
        <x:f>'Reviewer View'!I42</x:f>
        <x:v>1</x:v>
      </x:c>
      <x:c r="N42" s="41" t="str">
        <x:v>Prediction captures part of the observed dimension but misses or adds an important element.</x:v>
      </x:c>
      <x:c r="O42" s="41" t="n">
        <x:v>2</x:v>
      </x:c>
      <x:c r="P42" s="41" t="n">
        <x:f>'Reviewer View'!J42</x:f>
        <x:v>2</x:v>
      </x:c>
      <x:c r="Q42" s="41" t="str">
        <x:v>Escalation direction matches the observed response.</x:v>
      </x:c>
      <x:c r="R42" s="41" t="n">
        <x:v>1</x:v>
      </x:c>
      <x:c r="S42" s="41" t="n">
        <x:f>'Reviewer View'!K42</x:f>
        <x:v>1</x:v>
      </x:c>
      <x:c r="T42" s="41" t="str">
        <x:v>Prediction captures part of the observed dimension but misses or adds an important element.</x:v>
      </x:c>
      <x:c r="U42" s="47" t="n">
        <x:f>SUM(D42,G42,J42,M42,P42,S42)</x:f>
        <x:v>5</x:v>
      </x:c>
      <x:c r="V42" s="41" t="str">
        <x:f>'Reviewer View'!M42</x:f>
        <x:v>accept</x:v>
      </x:c>
      <x:c r="W42" s="50" t="n">
        <x:f>'Reviewer View'!N42</x:f>
        <x:v>0.73</x:v>
      </x:c>
      <x:c r="X42" s="42" t="n">
        <x:f>'Reviewer View'!O42</x:f>
        <x:v>0</x:v>
      </x:c>
    </x:row>
    <x:row r="43">
      <x:c r="A43" s="40" t="str">
        <x:v>B042-582e4d</x:v>
      </x:c>
      <x:c r="B43" s="41" t="str">
        <x:v>t01-pe-h04</x:v>
      </x:c>
      <x:c r="C43" s="41" t="n">
        <x:v>0</x:v>
      </x:c>
      <x:c r="D43" s="41" t="n">
        <x:f>'Reviewer View'!F43</x:f>
        <x:v>0</x:v>
      </x:c>
      <x:c r="E43" s="41" t="str">
        <x:v>Prediction does not capture the central observed feature of this dimension.</x:v>
      </x:c>
      <x:c r="F43" s="41" t="n">
        <x:v>0</x:v>
      </x:c>
      <x:c r="G43" s="41" t="n">
        <x:f>'Reviewer View'!G43</x:f>
        <x:v>0</x:v>
      </x:c>
      <x:c r="H43" s="41" t="str">
        <x:v>Prediction does not capture the central observed feature of this dimension.</x:v>
      </x:c>
      <x:c r="I43" s="41" t="n">
        <x:v>0</x:v>
      </x:c>
      <x:c r="J43" s="41" t="n">
        <x:f>'Reviewer View'!H43</x:f>
        <x:v>0</x:v>
      </x:c>
      <x:c r="K43" s="41" t="str">
        <x:v>Prediction does not capture the central observed feature of this dimension.</x:v>
      </x:c>
      <x:c r="L43" s="41" t="n">
        <x:v>1</x:v>
      </x:c>
      <x:c r="M43" s="41" t="n">
        <x:f>'Reviewer View'!I43</x:f>
        <x:v>1</x:v>
      </x:c>
      <x:c r="N43" s="41" t="str">
        <x:v>Prediction captures part of the observed dimension but misses or adds an important element.</x:v>
      </x:c>
      <x:c r="O43" s="41" t="n">
        <x:v>0</x:v>
      </x:c>
      <x:c r="P43" s="41" t="n">
        <x:f>'Reviewer View'!J43</x:f>
        <x:v>0</x:v>
      </x:c>
      <x:c r="Q43" s="41" t="str">
        <x:v>Escalation direction or intensity differs materially.</x:v>
      </x:c>
      <x:c r="R43" s="41" t="n">
        <x:v>1</x:v>
      </x:c>
      <x:c r="S43" s="41" t="n">
        <x:f>'Reviewer View'!K43</x:f>
        <x:v>1</x:v>
      </x:c>
      <x:c r="T43" s="41" t="str">
        <x:v>Prediction captures part of the observed dimension but misses or adds an important element.</x:v>
      </x:c>
      <x:c r="U43" s="47" t="n">
        <x:f>SUM(D43,G43,J43,M43,P43,S43)</x:f>
        <x:v>2</x:v>
      </x:c>
      <x:c r="V43" s="41" t="str">
        <x:f>'Reviewer View'!M43</x:f>
        <x:v>accept</x:v>
      </x:c>
      <x:c r="W43" s="50" t="n">
        <x:f>'Reviewer View'!N43</x:f>
        <x:v>0.79</x:v>
      </x:c>
      <x:c r="X43" s="42" t="n">
        <x:f>'Reviewer View'!O43</x:f>
        <x:v>0</x:v>
      </x:c>
    </x:row>
    <x:row r="44">
      <x:c r="A44" s="40" t="str">
        <x:v>B043-443375</x:v>
      </x:c>
      <x:c r="B44" s="41" t="str">
        <x:v>t01-pe-h03</x:v>
      </x:c>
      <x:c r="C44" s="41" t="n">
        <x:v>2</x:v>
      </x:c>
      <x:c r="D44" s="41" t="n">
        <x:f>'Reviewer View'!F44</x:f>
        <x:v>2</x:v>
      </x:c>
      <x:c r="E44" s="41" t="str">
        <x:v>Prediction closely captures the observed dimension.</x:v>
      </x:c>
      <x:c r="F44" s="41" t="n">
        <x:v>0</x:v>
      </x:c>
      <x:c r="G44" s="41" t="n">
        <x:f>'Reviewer View'!G44</x:f>
        <x:v>0</x:v>
      </x:c>
      <x:c r="H44" s="41" t="str">
        <x:v>Prediction does not capture the central observed feature of this dimension.</x:v>
      </x:c>
      <x:c r="I44" s="41" t="n">
        <x:v>1</x:v>
      </x:c>
      <x:c r="J44" s="41" t="n">
        <x:f>'Reviewer View'!H44</x:f>
        <x:v>1</x:v>
      </x:c>
      <x:c r="K44" s="41" t="str">
        <x:v>Prediction captures part of the observed dimension but misses or adds an important element.</x:v>
      </x:c>
      <x:c r="L44" s="41" t="n">
        <x:v>0</x:v>
      </x:c>
      <x:c r="M44" s="41" t="n">
        <x:f>'Reviewer View'!I44</x:f>
        <x:v>0</x:v>
      </x:c>
      <x:c r="N44" s="41" t="str">
        <x:v>Prediction does not capture the central observed feature of this dimension.</x:v>
      </x:c>
      <x:c r="O44" s="41" t="n">
        <x:v>0</x:v>
      </x:c>
      <x:c r="P44" s="41" t="n">
        <x:f>'Reviewer View'!J44</x:f>
        <x:v>0</x:v>
      </x:c>
      <x:c r="Q44" s="41" t="str">
        <x:v>Escalation direction or intensity differs materially.</x:v>
      </x:c>
      <x:c r="R44" s="41" t="n">
        <x:v>0</x:v>
      </x:c>
      <x:c r="S44" s="41" t="n">
        <x:f>'Reviewer View'!K44</x:f>
        <x:v>0</x:v>
      </x:c>
      <x:c r="T44" s="41" t="str">
        <x:v>Prediction does not capture the central observed feature of this dimension.</x:v>
      </x:c>
      <x:c r="U44" s="47" t="n">
        <x:f>SUM(D44,G44,J44,M44,P44,S44)</x:f>
        <x:v>3</x:v>
      </x:c>
      <x:c r="V44" s="41" t="str">
        <x:f>'Reviewer View'!M44</x:f>
        <x:v>accept</x:v>
      </x:c>
      <x:c r="W44" s="50" t="n">
        <x:f>'Reviewer View'!N44</x:f>
        <x:v>0.79</x:v>
      </x:c>
      <x:c r="X44" s="42" t="n">
        <x:f>'Reviewer View'!O44</x:f>
        <x:v>0</x:v>
      </x:c>
    </x:row>
    <x:row r="45">
      <x:c r="A45" s="40" t="str">
        <x:v>B044-973b0a</x:v>
      </x:c>
      <x:c r="B45" s="41" t="str">
        <x:v>t01-pe-h04</x:v>
      </x:c>
      <x:c r="C45" s="41" t="n">
        <x:v>0</x:v>
      </x:c>
      <x:c r="D45" s="41" t="n">
        <x:f>'Reviewer View'!F45</x:f>
        <x:v>0</x:v>
      </x:c>
      <x:c r="E45" s="41" t="str">
        <x:v>Prediction does not capture the central observed feature of this dimension.</x:v>
      </x:c>
      <x:c r="F45" s="41" t="n">
        <x:v>0</x:v>
      </x:c>
      <x:c r="G45" s="41" t="n">
        <x:f>'Reviewer View'!G45</x:f>
        <x:v>0</x:v>
      </x:c>
      <x:c r="H45" s="41" t="str">
        <x:v>Prediction does not capture the central observed feature of this dimension.</x:v>
      </x:c>
      <x:c r="I45" s="41" t="n">
        <x:v>0</x:v>
      </x:c>
      <x:c r="J45" s="41" t="n">
        <x:f>'Reviewer View'!H45</x:f>
        <x:v>0</x:v>
      </x:c>
      <x:c r="K45" s="41" t="str">
        <x:v>Prediction does not capture the central observed feature of this dimension.</x:v>
      </x:c>
      <x:c r="L45" s="41" t="n">
        <x:v>0</x:v>
      </x:c>
      <x:c r="M45" s="41" t="n">
        <x:f>'Reviewer View'!I45</x:f>
        <x:v>0</x:v>
      </x:c>
      <x:c r="N45" s="41" t="str">
        <x:v>Prediction does not capture the central observed feature of this dimension.</x:v>
      </x:c>
      <x:c r="O45" s="41" t="n">
        <x:v>0</x:v>
      </x:c>
      <x:c r="P45" s="41" t="n">
        <x:f>'Reviewer View'!J45</x:f>
        <x:v>0</x:v>
      </x:c>
      <x:c r="Q45" s="41" t="str">
        <x:v>Escalation direction or intensity differs materially.</x:v>
      </x:c>
      <x:c r="R45" s="41" t="n">
        <x:v>1</x:v>
      </x:c>
      <x:c r="S45" s="41" t="n">
        <x:f>'Reviewer View'!K45</x:f>
        <x:v>1</x:v>
      </x:c>
      <x:c r="T45" s="41" t="str">
        <x:v>Prediction captures part of the observed dimension but misses or adds an important element.</x:v>
      </x:c>
      <x:c r="U45" s="47" t="n">
        <x:f>SUM(D45,G45,J45,M45,P45,S45)</x:f>
        <x:v>1</x:v>
      </x:c>
      <x:c r="V45" s="41" t="str">
        <x:f>'Reviewer View'!M45</x:f>
        <x:v>accept</x:v>
      </x:c>
      <x:c r="W45" s="50" t="n">
        <x:f>'Reviewer View'!N45</x:f>
        <x:v>0.81</x:v>
      </x:c>
      <x:c r="X45" s="42" t="n">
        <x:f>'Reviewer View'!O45</x:f>
        <x:v>0</x:v>
      </x:c>
    </x:row>
    <x:row r="46">
      <x:c r="A46" s="40" t="str">
        <x:v>B045-3d7118</x:v>
      </x:c>
      <x:c r="B46" s="41" t="str">
        <x:v>t01-pe-h04</x:v>
      </x:c>
      <x:c r="C46" s="41" t="n">
        <x:v>0</x:v>
      </x:c>
      <x:c r="D46" s="41" t="n">
        <x:f>'Reviewer View'!F46</x:f>
        <x:v>0</x:v>
      </x:c>
      <x:c r="E46" s="41" t="str">
        <x:v>Prediction does not capture the central observed feature of this dimension.</x:v>
      </x:c>
      <x:c r="F46" s="41" t="n">
        <x:v>1</x:v>
      </x:c>
      <x:c r="G46" s="41" t="n">
        <x:f>'Reviewer View'!G46</x:f>
        <x:v>1</x:v>
      </x:c>
      <x:c r="H46" s="41" t="str">
        <x:v>Prediction captures part of the observed dimension but misses or adds an important element.</x:v>
      </x:c>
      <x:c r="I46" s="41" t="n">
        <x:v>0</x:v>
      </x:c>
      <x:c r="J46" s="41" t="n">
        <x:f>'Reviewer View'!H46</x:f>
        <x:v>0</x:v>
      </x:c>
      <x:c r="K46" s="41" t="str">
        <x:v>Prediction does not capture the central observed feature of this dimension.</x:v>
      </x:c>
      <x:c r="L46" s="41" t="n">
        <x:v>2</x:v>
      </x:c>
      <x:c r="M46" s="41" t="n">
        <x:f>'Reviewer View'!I46</x:f>
        <x:v>2</x:v>
      </x:c>
      <x:c r="N46" s="41" t="str">
        <x:v>Prediction closely captures the observed dimension.</x:v>
      </x:c>
      <x:c r="O46" s="41" t="n">
        <x:v>0</x:v>
      </x:c>
      <x:c r="P46" s="41" t="n">
        <x:f>'Reviewer View'!J46</x:f>
        <x:v>0</x:v>
      </x:c>
      <x:c r="Q46" s="41" t="str">
        <x:v>Escalation direction or intensity differs materially.</x:v>
      </x:c>
      <x:c r="R46" s="41" t="n">
        <x:v>0</x:v>
      </x:c>
      <x:c r="S46" s="41" t="n">
        <x:f>'Reviewer View'!K46</x:f>
        <x:v>0</x:v>
      </x:c>
      <x:c r="T46" s="41" t="str">
        <x:v>Prediction does not capture the central observed feature of this dimension.</x:v>
      </x:c>
      <x:c r="U46" s="47" t="n">
        <x:f>SUM(D46,G46,J46,M46,P46,S46)</x:f>
        <x:v>3</x:v>
      </x:c>
      <x:c r="V46" s="41" t="str">
        <x:f>'Reviewer View'!M46</x:f>
        <x:v>accept</x:v>
      </x:c>
      <x:c r="W46" s="50" t="n">
        <x:f>'Reviewer View'!N46</x:f>
        <x:v>0.82</x:v>
      </x:c>
      <x:c r="X46" s="42" t="n">
        <x:f>'Reviewer View'!O46</x:f>
        <x:v>0</x:v>
      </x:c>
    </x:row>
    <x:row r="47">
      <x:c r="A47" s="40" t="str">
        <x:v>B046-67778d</x:v>
      </x:c>
      <x:c r="B47" s="41" t="str">
        <x:v>t01-pe-h03</x:v>
      </x:c>
      <x:c r="C47" s="41" t="n">
        <x:v>1</x:v>
      </x:c>
      <x:c r="D47" s="41" t="n">
        <x:f>'Reviewer View'!F47</x:f>
        <x:v>1</x:v>
      </x:c>
      <x:c r="E47" s="41" t="str">
        <x:v>Prediction captures part of the observed dimension but misses or adds an important element.</x:v>
      </x:c>
      <x:c r="F47" s="41" t="n">
        <x:v>0</x:v>
      </x:c>
      <x:c r="G47" s="41" t="n">
        <x:f>'Reviewer View'!G47</x:f>
        <x:v>0</x:v>
      </x:c>
      <x:c r="H47" s="41" t="str">
        <x:v>Prediction does not capture the central observed feature of this dimension.</x:v>
      </x:c>
      <x:c r="I47" s="41" t="n">
        <x:v>0</x:v>
      </x:c>
      <x:c r="J47" s="41" t="n">
        <x:f>'Reviewer View'!H47</x:f>
        <x:v>0</x:v>
      </x:c>
      <x:c r="K47" s="41" t="str">
        <x:v>Prediction does not capture the central observed feature of this dimension.</x:v>
      </x:c>
      <x:c r="L47" s="41" t="n">
        <x:v>1</x:v>
      </x:c>
      <x:c r="M47" s="41" t="n">
        <x:f>'Reviewer View'!I47</x:f>
        <x:v>1</x:v>
      </x:c>
      <x:c r="N47" s="41" t="str">
        <x:v>Prediction captures part of the observed dimension but misses or adds an important element.</x:v>
      </x:c>
      <x:c r="O47" s="41" t="n">
        <x:v>0</x:v>
      </x:c>
      <x:c r="P47" s="41" t="n">
        <x:f>'Reviewer View'!J47</x:f>
        <x:v>0</x:v>
      </x:c>
      <x:c r="Q47" s="41" t="str">
        <x:v>Escalation direction or intensity differs materially.</x:v>
      </x:c>
      <x:c r="R47" s="41" t="n">
        <x:v>1</x:v>
      </x:c>
      <x:c r="S47" s="41" t="n">
        <x:f>'Reviewer View'!K47</x:f>
        <x:v>1</x:v>
      </x:c>
      <x:c r="T47" s="41" t="str">
        <x:v>Prediction captures part of the observed dimension but misses or adds an important element.</x:v>
      </x:c>
      <x:c r="U47" s="47" t="n">
        <x:f>SUM(D47,G47,J47,M47,P47,S47)</x:f>
        <x:v>3</x:v>
      </x:c>
      <x:c r="V47" s="41" t="str">
        <x:f>'Reviewer View'!M47</x:f>
        <x:v>accept</x:v>
      </x:c>
      <x:c r="W47" s="50" t="n">
        <x:f>'Reviewer View'!N47</x:f>
        <x:v>0.75</x:v>
      </x:c>
      <x:c r="X47" s="42" t="n">
        <x:f>'Reviewer View'!O47</x:f>
        <x:v>0</x:v>
      </x:c>
    </x:row>
    <x:row r="48">
      <x:c r="A48" s="40" t="str">
        <x:v>B047-99abb1</x:v>
      </x:c>
      <x:c r="B48" s="41" t="str">
        <x:v>t01-pe-h01</x:v>
      </x:c>
      <x:c r="C48" s="41" t="n">
        <x:v>1</x:v>
      </x:c>
      <x:c r="D48" s="41" t="n">
        <x:f>'Reviewer View'!F48</x:f>
        <x:v>1</x:v>
      </x:c>
      <x:c r="E48" s="41" t="str">
        <x:v>Prediction captures part of the observed dimension but misses or adds an important element.</x:v>
      </x:c>
      <x:c r="F48" s="41" t="n">
        <x:v>0</x:v>
      </x:c>
      <x:c r="G48" s="41" t="n">
        <x:f>'Reviewer View'!G48</x:f>
        <x:v>0</x:v>
      </x:c>
      <x:c r="H48" s="41" t="str">
        <x:v>Prediction does not capture the central observed feature of this dimension.</x:v>
      </x:c>
      <x:c r="I48" s="41" t="n">
        <x:v>2</x:v>
      </x:c>
      <x:c r="J48" s="41" t="n">
        <x:f>'Reviewer View'!H48</x:f>
        <x:v>2</x:v>
      </x:c>
      <x:c r="K48" s="41" t="str">
        <x:v>Prediction closely captures the observed dimension.</x:v>
      </x:c>
      <x:c r="L48" s="41" t="n">
        <x:v>2</x:v>
      </x:c>
      <x:c r="M48" s="41" t="n">
        <x:f>'Reviewer View'!I48</x:f>
        <x:v>2</x:v>
      </x:c>
      <x:c r="N48" s="41" t="str">
        <x:v>Prediction closely captures the observed dimension.</x:v>
      </x:c>
      <x:c r="O48" s="41" t="n">
        <x:v>1</x:v>
      </x:c>
      <x:c r="P48" s="41" t="n">
        <x:f>'Reviewer View'!J48</x:f>
        <x:v>1</x:v>
      </x:c>
      <x:c r="Q48" s="41" t="str">
        <x:v>Escalation is adjacent in intensity but not exact.</x:v>
      </x:c>
      <x:c r="R48" s="41" t="n">
        <x:v>1</x:v>
      </x:c>
      <x:c r="S48" s="41" t="n">
        <x:f>'Reviewer View'!K48</x:f>
        <x:v>1</x:v>
      </x:c>
      <x:c r="T48" s="41" t="str">
        <x:v>Prediction captures part of the observed dimension but misses or adds an important element.</x:v>
      </x:c>
      <x:c r="U48" s="47" t="n">
        <x:f>SUM(D48,G48,J48,M48,P48,S48)</x:f>
        <x:v>7</x:v>
      </x:c>
      <x:c r="V48" s="41" t="str">
        <x:f>'Reviewer View'!M48</x:f>
        <x:v>accept</x:v>
      </x:c>
      <x:c r="W48" s="50" t="n">
        <x:f>'Reviewer View'!N48</x:f>
        <x:v>0.71</x:v>
      </x:c>
      <x:c r="X48" s="42" t="n">
        <x:f>'Reviewer View'!O48</x:f>
        <x:v>0</x:v>
      </x:c>
    </x:row>
    <x:row r="49">
      <x:c r="A49" s="40" t="str">
        <x:v>B048-0dec98</x:v>
      </x:c>
      <x:c r="B49" s="41" t="str">
        <x:v>t01-pe-h02</x:v>
      </x:c>
      <x:c r="C49" s="41" t="n">
        <x:v>1</x:v>
      </x:c>
      <x:c r="D49" s="41" t="n">
        <x:f>'Reviewer View'!F49</x:f>
        <x:v>1</x:v>
      </x:c>
      <x:c r="E49" s="41" t="str">
        <x:v>Prediction captures part of the observed dimension but misses or adds an important element.</x:v>
      </x:c>
      <x:c r="F49" s="41" t="n">
        <x:v>1</x:v>
      </x:c>
      <x:c r="G49" s="41" t="n">
        <x:f>'Reviewer View'!G49</x:f>
        <x:v>1</x:v>
      </x:c>
      <x:c r="H49" s="41" t="str">
        <x:v>Prediction captures part of the observed dimension but misses or adds an important element.</x:v>
      </x:c>
      <x:c r="I49" s="41" t="n">
        <x:v>1</x:v>
      </x:c>
      <x:c r="J49" s="41" t="n">
        <x:f>'Reviewer View'!H49</x:f>
        <x:v>1</x:v>
      </x:c>
      <x:c r="K49" s="41" t="str">
        <x:v>Prediction captures part of the observed dimension but misses or adds an important element.</x:v>
      </x:c>
      <x:c r="L49" s="41" t="n">
        <x:v>2</x:v>
      </x:c>
      <x:c r="M49" s="41" t="n">
        <x:f>'Reviewer View'!I49</x:f>
        <x:v>2</x:v>
      </x:c>
      <x:c r="N49" s="41" t="str">
        <x:v>Prediction closely captures the observed dimension.</x:v>
      </x:c>
      <x:c r="O49" s="41" t="n">
        <x:v>2</x:v>
      </x:c>
      <x:c r="P49" s="41" t="n">
        <x:f>'Reviewer View'!J49</x:f>
        <x:v>2</x:v>
      </x:c>
      <x:c r="Q49" s="41" t="str">
        <x:v>Escalation direction matches the observed response.</x:v>
      </x:c>
      <x:c r="R49" s="41" t="n">
        <x:v>0</x:v>
      </x:c>
      <x:c r="S49" s="41" t="n">
        <x:f>'Reviewer View'!K49</x:f>
        <x:v>0</x:v>
      </x:c>
      <x:c r="T49" s="41" t="str">
        <x:v>Prediction does not capture the central observed feature of this dimension.</x:v>
      </x:c>
      <x:c r="U49" s="47" t="n">
        <x:f>SUM(D49,G49,J49,M49,P49,S49)</x:f>
        <x:v>7</x:v>
      </x:c>
      <x:c r="V49" s="41" t="str">
        <x:f>'Reviewer View'!M49</x:f>
        <x:v>accept</x:v>
      </x:c>
      <x:c r="W49" s="50" t="n">
        <x:f>'Reviewer View'!N49</x:f>
        <x:v>0.73</x:v>
      </x:c>
      <x:c r="X49" s="42" t="n">
        <x:f>'Reviewer View'!O49</x:f>
        <x:v>0</x:v>
      </x:c>
    </x:row>
    <x:row r="50">
      <x:c r="A50" s="40" t="str">
        <x:v>B049-399080</x:v>
      </x:c>
      <x:c r="B50" s="41" t="str">
        <x:v>t01-pe-h01</x:v>
      </x:c>
      <x:c r="C50" s="41" t="n">
        <x:v>0</x:v>
      </x:c>
      <x:c r="D50" s="41" t="n">
        <x:f>'Reviewer View'!F50</x:f>
        <x:v>0</x:v>
      </x:c>
      <x:c r="E50" s="41" t="str">
        <x:v>Prediction does not capture the central observed feature of this dimension.</x:v>
      </x:c>
      <x:c r="F50" s="41" t="n">
        <x:v>1</x:v>
      </x:c>
      <x:c r="G50" s="41" t="n">
        <x:f>'Reviewer View'!G50</x:f>
        <x:v>1</x:v>
      </x:c>
      <x:c r="H50" s="41" t="str">
        <x:v>Prediction captures part of the observed dimension but misses or adds an important element.</x:v>
      </x:c>
      <x:c r="I50" s="41" t="n">
        <x:v>2</x:v>
      </x:c>
      <x:c r="J50" s="41" t="n">
        <x:f>'Reviewer View'!H50</x:f>
        <x:v>2</x:v>
      </x:c>
      <x:c r="K50" s="41" t="str">
        <x:v>Prediction closely captures the observed dimension.</x:v>
      </x:c>
      <x:c r="L50" s="41" t="n">
        <x:v>1</x:v>
      </x:c>
      <x:c r="M50" s="41" t="n">
        <x:f>'Reviewer View'!I50</x:f>
        <x:v>1</x:v>
      </x:c>
      <x:c r="N50" s="41" t="str">
        <x:v>Prediction captures part of the observed dimension but misses or adds an important element.</x:v>
      </x:c>
      <x:c r="O50" s="41" t="n">
        <x:v>0</x:v>
      </x:c>
      <x:c r="P50" s="41" t="n">
        <x:f>'Reviewer View'!J50</x:f>
        <x:v>0</x:v>
      </x:c>
      <x:c r="Q50" s="41" t="str">
        <x:v>Escalation direction or intensity differs materially.</x:v>
      </x:c>
      <x:c r="R50" s="41" t="n">
        <x:v>0</x:v>
      </x:c>
      <x:c r="S50" s="41" t="n">
        <x:f>'Reviewer View'!K50</x:f>
        <x:v>0</x:v>
      </x:c>
      <x:c r="T50" s="41" t="str">
        <x:v>Prediction does not capture the central observed feature of this dimension.</x:v>
      </x:c>
      <x:c r="U50" s="47" t="n">
        <x:f>SUM(D50,G50,J50,M50,P50,S50)</x:f>
        <x:v>4</x:v>
      </x:c>
      <x:c r="V50" s="41" t="str">
        <x:f>'Reviewer View'!M50</x:f>
        <x:v>accept</x:v>
      </x:c>
      <x:c r="W50" s="50" t="n">
        <x:f>'Reviewer View'!N50</x:f>
        <x:v>0.79</x:v>
      </x:c>
      <x:c r="X50" s="42" t="n">
        <x:f>'Reviewer View'!O50</x:f>
        <x:v>0</x:v>
      </x:c>
    </x:row>
    <x:row r="51">
      <x:c r="A51" s="40" t="str">
        <x:v>B050-773788</x:v>
      </x:c>
      <x:c r="B51" s="41" t="str">
        <x:v>t01-pe-h03</x:v>
      </x:c>
      <x:c r="C51" s="41" t="n">
        <x:v>2</x:v>
      </x:c>
      <x:c r="D51" s="41" t="n">
        <x:f>'Reviewer View'!F51</x:f>
        <x:v>2</x:v>
      </x:c>
      <x:c r="E51" s="41" t="str">
        <x:v>Prediction closely captures the observed dimension.</x:v>
      </x:c>
      <x:c r="F51" s="41" t="n">
        <x:v>0</x:v>
      </x:c>
      <x:c r="G51" s="41" t="n">
        <x:f>'Reviewer View'!G51</x:f>
        <x:v>0</x:v>
      </x:c>
      <x:c r="H51" s="41" t="str">
        <x:v>Prediction does not capture the central observed feature of this dimension.</x:v>
      </x:c>
      <x:c r="I51" s="41" t="n">
        <x:v>0</x:v>
      </x:c>
      <x:c r="J51" s="41" t="n">
        <x:f>'Reviewer View'!H51</x:f>
        <x:v>0</x:v>
      </x:c>
      <x:c r="K51" s="41" t="str">
        <x:v>Prediction does not capture the central observed feature of this dimension.</x:v>
      </x:c>
      <x:c r="L51" s="41" t="n">
        <x:v>0</x:v>
      </x:c>
      <x:c r="M51" s="41" t="n">
        <x:f>'Reviewer View'!I51</x:f>
        <x:v>0</x:v>
      </x:c>
      <x:c r="N51" s="41" t="str">
        <x:v>Prediction does not capture the central observed feature of this dimension.</x:v>
      </x:c>
      <x:c r="O51" s="41" t="n">
        <x:v>0</x:v>
      </x:c>
      <x:c r="P51" s="41" t="n">
        <x:f>'Reviewer View'!J51</x:f>
        <x:v>0</x:v>
      </x:c>
      <x:c r="Q51" s="41" t="str">
        <x:v>Escalation direction or intensity differs materially.</x:v>
      </x:c>
      <x:c r="R51" s="41" t="n">
        <x:v>0</x:v>
      </x:c>
      <x:c r="S51" s="41" t="n">
        <x:f>'Reviewer View'!K51</x:f>
        <x:v>0</x:v>
      </x:c>
      <x:c r="T51" s="41" t="str">
        <x:v>Prediction does not capture the central observed feature of this dimension.</x:v>
      </x:c>
      <x:c r="U51" s="47" t="n">
        <x:f>SUM(D51,G51,J51,M51,P51,S51)</x:f>
        <x:v>2</x:v>
      </x:c>
      <x:c r="V51" s="41" t="str">
        <x:f>'Reviewer View'!M51</x:f>
        <x:v>accept</x:v>
      </x:c>
      <x:c r="W51" s="50" t="n">
        <x:f>'Reviewer View'!N51</x:f>
        <x:v>0.84</x:v>
      </x:c>
      <x:c r="X51" s="42" t="n">
        <x:f>'Reviewer View'!O51</x:f>
        <x:v>0</x:v>
      </x:c>
    </x:row>
    <x:row r="52">
      <x:c r="A52" s="40" t="str">
        <x:v>B051-070d46</x:v>
      </x:c>
      <x:c r="B52" s="41" t="str">
        <x:v>t01-pe-h02</x:v>
      </x:c>
      <x:c r="C52" s="41" t="n">
        <x:v>2</x:v>
      </x:c>
      <x:c r="D52" s="41" t="n">
        <x:f>'Reviewer View'!F52</x:f>
        <x:v>2</x:v>
      </x:c>
      <x:c r="E52" s="41" t="str">
        <x:v>Prediction closely captures the observed dimension.</x:v>
      </x:c>
      <x:c r="F52" s="41" t="n">
        <x:v>1</x:v>
      </x:c>
      <x:c r="G52" s="41" t="n">
        <x:f>'Reviewer View'!G52</x:f>
        <x:v>1</x:v>
      </x:c>
      <x:c r="H52" s="41" t="str">
        <x:v>Prediction captures part of the observed dimension but misses or adds an important element.</x:v>
      </x:c>
      <x:c r="I52" s="41" t="n">
        <x:v>1</x:v>
      </x:c>
      <x:c r="J52" s="41" t="n">
        <x:f>'Reviewer View'!H52</x:f>
        <x:v>1</x:v>
      </x:c>
      <x:c r="K52" s="41" t="str">
        <x:v>Prediction captures part of the observed dimension but misses or adds an important element.</x:v>
      </x:c>
      <x:c r="L52" s="41" t="n">
        <x:v>2</x:v>
      </x:c>
      <x:c r="M52" s="41" t="n">
        <x:f>'Reviewer View'!I52</x:f>
        <x:v>2</x:v>
      </x:c>
      <x:c r="N52" s="41" t="str">
        <x:v>Prediction closely captures the observed dimension.</x:v>
      </x:c>
      <x:c r="O52" s="41" t="n">
        <x:v>2</x:v>
      </x:c>
      <x:c r="P52" s="41" t="n">
        <x:f>'Reviewer View'!J52</x:f>
        <x:v>2</x:v>
      </x:c>
      <x:c r="Q52" s="41" t="str">
        <x:v>Escalation direction matches the observed response.</x:v>
      </x:c>
      <x:c r="R52" s="41" t="n">
        <x:v>0</x:v>
      </x:c>
      <x:c r="S52" s="41" t="n">
        <x:f>'Reviewer View'!K52</x:f>
        <x:v>0</x:v>
      </x:c>
      <x:c r="T52" s="41" t="str">
        <x:v>Prediction does not capture the central observed feature of this dimension.</x:v>
      </x:c>
      <x:c r="U52" s="47" t="n">
        <x:f>SUM(D52,G52,J52,M52,P52,S52)</x:f>
        <x:v>8</x:v>
      </x:c>
      <x:c r="V52" s="41" t="str">
        <x:f>'Reviewer View'!M52</x:f>
        <x:v>accept</x:v>
      </x:c>
      <x:c r="W52" s="50" t="n">
        <x:f>'Reviewer View'!N52</x:f>
        <x:v>0.78</x:v>
      </x:c>
      <x:c r="X52" s="42" t="n">
        <x:f>'Reviewer View'!O52</x:f>
        <x:v>0</x:v>
      </x:c>
    </x:row>
    <x:row r="53">
      <x:c r="A53" s="40" t="str">
        <x:v>B052-2b11e3</x:v>
      </x:c>
      <x:c r="B53" s="41" t="str">
        <x:v>t01-pe-h02</x:v>
      </x:c>
      <x:c r="C53" s="41" t="n">
        <x:v>1</x:v>
      </x:c>
      <x:c r="D53" s="41" t="n">
        <x:f>'Reviewer View'!F53</x:f>
        <x:v>1</x:v>
      </x:c>
      <x:c r="E53" s="41" t="str">
        <x:v>Prediction captures part of the observed dimension but misses or adds an important element.</x:v>
      </x:c>
      <x:c r="F53" s="41" t="n">
        <x:v>1</x:v>
      </x:c>
      <x:c r="G53" s="41" t="n">
        <x:f>'Reviewer View'!G53</x:f>
        <x:v>1</x:v>
      </x:c>
      <x:c r="H53" s="41" t="str">
        <x:v>Prediction captures part of the observed dimension but misses or adds an important element.</x:v>
      </x:c>
      <x:c r="I53" s="41" t="n">
        <x:v>0</x:v>
      </x:c>
      <x:c r="J53" s="41" t="n">
        <x:f>'Reviewer View'!H53</x:f>
        <x:v>0</x:v>
      </x:c>
      <x:c r="K53" s="41" t="str">
        <x:v>Prediction does not capture the central observed feature of this dimension.</x:v>
      </x:c>
      <x:c r="L53" s="41" t="n">
        <x:v>2</x:v>
      </x:c>
      <x:c r="M53" s="41" t="n">
        <x:f>'Reviewer View'!I53</x:f>
        <x:v>2</x:v>
      </x:c>
      <x:c r="N53" s="41" t="str">
        <x:v>Prediction closely captures the observed dimension.</x:v>
      </x:c>
      <x:c r="O53" s="41" t="n">
        <x:v>1</x:v>
      </x:c>
      <x:c r="P53" s="41" t="n">
        <x:f>'Reviewer View'!J53</x:f>
        <x:v>1</x:v>
      </x:c>
      <x:c r="Q53" s="41" t="str">
        <x:v>Escalation is adjacent in intensity but not exact.</x:v>
      </x:c>
      <x:c r="R53" s="41" t="n">
        <x:v>0</x:v>
      </x:c>
      <x:c r="S53" s="41" t="n">
        <x:f>'Reviewer View'!K53</x:f>
        <x:v>0</x:v>
      </x:c>
      <x:c r="T53" s="41" t="str">
        <x:v>Prediction does not capture the central observed feature of this dimension.</x:v>
      </x:c>
      <x:c r="U53" s="47" t="n">
        <x:f>SUM(D53,G53,J53,M53,P53,S53)</x:f>
        <x:v>5</x:v>
      </x:c>
      <x:c r="V53" s="41" t="str">
        <x:f>'Reviewer View'!M53</x:f>
        <x:v>accept</x:v>
      </x:c>
      <x:c r="W53" s="50" t="n">
        <x:f>'Reviewer View'!N53</x:f>
        <x:v>0.73</x:v>
      </x:c>
      <x:c r="X53" s="42" t="n">
        <x:f>'Reviewer View'!O53</x:f>
        <x:v>0</x:v>
      </x:c>
    </x:row>
    <x:row r="54">
      <x:c r="A54" s="40" t="str">
        <x:v>B053-e843b1</x:v>
      </x:c>
      <x:c r="B54" s="41" t="str">
        <x:v>t01-pe-h03</x:v>
      </x:c>
      <x:c r="C54" s="41" t="n">
        <x:v>2</x:v>
      </x:c>
      <x:c r="D54" s="41" t="n">
        <x:f>'Reviewer View'!F54</x:f>
        <x:v>2</x:v>
      </x:c>
      <x:c r="E54" s="41" t="str">
        <x:v>Prediction closely captures the observed dimension.</x:v>
      </x:c>
      <x:c r="F54" s="41" t="n">
        <x:v>1</x:v>
      </x:c>
      <x:c r="G54" s="41" t="n">
        <x:f>'Reviewer View'!G54</x:f>
        <x:v>1</x:v>
      </x:c>
      <x:c r="H54" s="41" t="str">
        <x:v>Prediction captures part of the observed dimension but misses or adds an important element.</x:v>
      </x:c>
      <x:c r="I54" s="41" t="n">
        <x:v>0</x:v>
      </x:c>
      <x:c r="J54" s="41" t="n">
        <x:f>'Reviewer View'!H54</x:f>
        <x:v>0</x:v>
      </x:c>
      <x:c r="K54" s="41" t="str">
        <x:v>Prediction does not capture the central observed feature of this dimension.</x:v>
      </x:c>
      <x:c r="L54" s="41" t="n">
        <x:v>0</x:v>
      </x:c>
      <x:c r="M54" s="41" t="n">
        <x:f>'Reviewer View'!I54</x:f>
        <x:v>0</x:v>
      </x:c>
      <x:c r="N54" s="41" t="str">
        <x:v>Prediction does not capture the central observed feature of this dimension.</x:v>
      </x:c>
      <x:c r="O54" s="41" t="n">
        <x:v>0</x:v>
      </x:c>
      <x:c r="P54" s="41" t="n">
        <x:f>'Reviewer View'!J54</x:f>
        <x:v>0</x:v>
      </x:c>
      <x:c r="Q54" s="41" t="str">
        <x:v>Escalation direction or intensity differs materially.</x:v>
      </x:c>
      <x:c r="R54" s="41" t="n">
        <x:v>1</x:v>
      </x:c>
      <x:c r="S54" s="41" t="n">
        <x:f>'Reviewer View'!K54</x:f>
        <x:v>1</x:v>
      </x:c>
      <x:c r="T54" s="41" t="str">
        <x:v>Prediction captures part of the observed dimension but misses or adds an important element.</x:v>
      </x:c>
      <x:c r="U54" s="47" t="n">
        <x:f>SUM(D54,G54,J54,M54,P54,S54)</x:f>
        <x:v>4</x:v>
      </x:c>
      <x:c r="V54" s="41" t="str">
        <x:f>'Reviewer View'!M54</x:f>
        <x:v>accept</x:v>
      </x:c>
      <x:c r="W54" s="50" t="n">
        <x:f>'Reviewer View'!N54</x:f>
        <x:v>0.77</x:v>
      </x:c>
      <x:c r="X54" s="42" t="n">
        <x:f>'Reviewer View'!O54</x:f>
        <x:v>0</x:v>
      </x:c>
    </x:row>
    <x:row r="55">
      <x:c r="A55" s="40" t="str">
        <x:v>B054-bf013f</x:v>
      </x:c>
      <x:c r="B55" s="41" t="str">
        <x:v>t01-pe-h03</x:v>
      </x:c>
      <x:c r="C55" s="41" t="n">
        <x:v>2</x:v>
      </x:c>
      <x:c r="D55" s="41" t="n">
        <x:f>'Reviewer View'!F55</x:f>
        <x:v>2</x:v>
      </x:c>
      <x:c r="E55" s="41" t="str">
        <x:v>Prediction closely captures the observed dimension.</x:v>
      </x:c>
      <x:c r="F55" s="41" t="n">
        <x:v>0</x:v>
      </x:c>
      <x:c r="G55" s="41" t="n">
        <x:f>'Reviewer View'!G55</x:f>
        <x:v>0</x:v>
      </x:c>
      <x:c r="H55" s="41" t="str">
        <x:v>Prediction does not capture the central observed feature of this dimension.</x:v>
      </x:c>
      <x:c r="I55" s="41" t="n">
        <x:v>1</x:v>
      </x:c>
      <x:c r="J55" s="41" t="n">
        <x:f>'Reviewer View'!H55</x:f>
        <x:v>1</x:v>
      </x:c>
      <x:c r="K55" s="41" t="str">
        <x:v>Prediction captures part of the observed dimension but misses or adds an important element.</x:v>
      </x:c>
      <x:c r="L55" s="41" t="n">
        <x:v>0</x:v>
      </x:c>
      <x:c r="M55" s="41" t="n">
        <x:f>'Reviewer View'!I55</x:f>
        <x:v>0</x:v>
      </x:c>
      <x:c r="N55" s="41" t="str">
        <x:v>Prediction does not capture the central observed feature of this dimension.</x:v>
      </x:c>
      <x:c r="O55" s="41" t="n">
        <x:v>0</x:v>
      </x:c>
      <x:c r="P55" s="41" t="n">
        <x:f>'Reviewer View'!J55</x:f>
        <x:v>0</x:v>
      </x:c>
      <x:c r="Q55" s="41" t="str">
        <x:v>Escalation direction or intensity differs materially.</x:v>
      </x:c>
      <x:c r="R55" s="41" t="n">
        <x:v>1</x:v>
      </x:c>
      <x:c r="S55" s="41" t="n">
        <x:f>'Reviewer View'!K55</x:f>
        <x:v>1</x:v>
      </x:c>
      <x:c r="T55" s="41" t="str">
        <x:v>Prediction captures part of the observed dimension but misses or adds an important element.</x:v>
      </x:c>
      <x:c r="U55" s="47" t="n">
        <x:f>SUM(D55,G55,J55,M55,P55,S55)</x:f>
        <x:v>4</x:v>
      </x:c>
      <x:c r="V55" s="41" t="str">
        <x:f>'Reviewer View'!M55</x:f>
        <x:v>accept</x:v>
      </x:c>
      <x:c r="W55" s="50" t="n">
        <x:f>'Reviewer View'!N55</x:f>
        <x:v>0.75</x:v>
      </x:c>
      <x:c r="X55" s="42" t="n">
        <x:f>'Reviewer View'!O55</x:f>
        <x:v>0</x:v>
      </x:c>
    </x:row>
    <x:row r="56">
      <x:c r="A56" s="40" t="str">
        <x:v>B055-13e7d0</x:v>
      </x:c>
      <x:c r="B56" s="41" t="str">
        <x:v>t01-pe-h04</x:v>
      </x:c>
      <x:c r="C56" s="41" t="n">
        <x:v>0</x:v>
      </x:c>
      <x:c r="D56" s="41" t="n">
        <x:f>'Reviewer View'!F56</x:f>
        <x:v>0</x:v>
      </x:c>
      <x:c r="E56" s="41" t="str">
        <x:v>Prediction does not capture the central observed feature of this dimension.</x:v>
      </x:c>
      <x:c r="F56" s="41" t="n">
        <x:v>2</x:v>
      </x:c>
      <x:c r="G56" s="41" t="n">
        <x:f>'Reviewer View'!G56</x:f>
        <x:v>2</x:v>
      </x:c>
      <x:c r="H56" s="41" t="str">
        <x:v>Prediction closely captures the observed dimension.</x:v>
      </x:c>
      <x:c r="I56" s="41" t="n">
        <x:v>0</x:v>
      </x:c>
      <x:c r="J56" s="41" t="n">
        <x:f>'Reviewer View'!H56</x:f>
        <x:v>0</x:v>
      </x:c>
      <x:c r="K56" s="41" t="str">
        <x:v>Prediction does not capture the central observed feature of this dimension.</x:v>
      </x:c>
      <x:c r="L56" s="41" t="n">
        <x:v>1</x:v>
      </x:c>
      <x:c r="M56" s="41" t="n">
        <x:f>'Reviewer View'!I56</x:f>
        <x:v>1</x:v>
      </x:c>
      <x:c r="N56" s="41" t="str">
        <x:v>Prediction captures part of the observed dimension but misses or adds an important element.</x:v>
      </x:c>
      <x:c r="O56" s="41" t="n">
        <x:v>0</x:v>
      </x:c>
      <x:c r="P56" s="41" t="n">
        <x:f>'Reviewer View'!J56</x:f>
        <x:v>0</x:v>
      </x:c>
      <x:c r="Q56" s="41" t="str">
        <x:v>Escalation direction or intensity differs materially.</x:v>
      </x:c>
      <x:c r="R56" s="41" t="n">
        <x:v>0</x:v>
      </x:c>
      <x:c r="S56" s="41" t="n">
        <x:f>'Reviewer View'!K56</x:f>
        <x:v>0</x:v>
      </x:c>
      <x:c r="T56" s="41" t="str">
        <x:v>Prediction does not capture the central observed feature of this dimension.</x:v>
      </x:c>
      <x:c r="U56" s="47" t="n">
        <x:f>SUM(D56,G56,J56,M56,P56,S56)</x:f>
        <x:v>3</x:v>
      </x:c>
      <x:c r="V56" s="41" t="str">
        <x:f>'Reviewer View'!M56</x:f>
        <x:v>accept</x:v>
      </x:c>
      <x:c r="W56" s="50" t="n">
        <x:f>'Reviewer View'!N56</x:f>
        <x:v>0.79</x:v>
      </x:c>
      <x:c r="X56" s="42" t="n">
        <x:f>'Reviewer View'!O56</x:f>
        <x:v>0</x:v>
      </x:c>
    </x:row>
    <x:row r="57">
      <x:c r="A57" s="40" t="str">
        <x:v>B056-d20974</x:v>
      </x:c>
      <x:c r="B57" s="41" t="str">
        <x:v>t01-pe-h02</x:v>
      </x:c>
      <x:c r="C57" s="41" t="n">
        <x:v>1</x:v>
      </x:c>
      <x:c r="D57" s="41" t="n">
        <x:f>'Reviewer View'!F57</x:f>
        <x:v>1</x:v>
      </x:c>
      <x:c r="E57" s="41" t="str">
        <x:v>Prediction captures part of the observed dimension but misses or adds an important element.</x:v>
      </x:c>
      <x:c r="F57" s="41" t="n">
        <x:v>0</x:v>
      </x:c>
      <x:c r="G57" s="41" t="n">
        <x:f>'Reviewer View'!G57</x:f>
        <x:v>0</x:v>
      </x:c>
      <x:c r="H57" s="41" t="str">
        <x:v>Prediction does not capture the central observed feature of this dimension.</x:v>
      </x:c>
      <x:c r="I57" s="41" t="n">
        <x:v>0</x:v>
      </x:c>
      <x:c r="J57" s="41" t="n">
        <x:f>'Reviewer View'!H57</x:f>
        <x:v>0</x:v>
      </x:c>
      <x:c r="K57" s="41" t="str">
        <x:v>Prediction does not capture the central observed feature of this dimension.</x:v>
      </x:c>
      <x:c r="L57" s="41" t="n">
        <x:v>1</x:v>
      </x:c>
      <x:c r="M57" s="41" t="n">
        <x:f>'Reviewer View'!I57</x:f>
        <x:v>1</x:v>
      </x:c>
      <x:c r="N57" s="41" t="str">
        <x:v>Prediction captures part of the observed dimension but misses or adds an important element.</x:v>
      </x:c>
      <x:c r="O57" s="41" t="n">
        <x:v>1</x:v>
      </x:c>
      <x:c r="P57" s="41" t="n">
        <x:f>'Reviewer View'!J57</x:f>
        <x:v>1</x:v>
      </x:c>
      <x:c r="Q57" s="41" t="str">
        <x:v>Escalation is adjacent in intensity but not exact.</x:v>
      </x:c>
      <x:c r="R57" s="41" t="n">
        <x:v>0</x:v>
      </x:c>
      <x:c r="S57" s="41" t="n">
        <x:f>'Reviewer View'!K57</x:f>
        <x:v>0</x:v>
      </x:c>
      <x:c r="T57" s="41" t="str">
        <x:v>Prediction does not capture the central observed feature of this dimension.</x:v>
      </x:c>
      <x:c r="U57" s="47" t="n">
        <x:f>SUM(D57,G57,J57,M57,P57,S57)</x:f>
        <x:v>3</x:v>
      </x:c>
      <x:c r="V57" s="41" t="str">
        <x:f>'Reviewer View'!M57</x:f>
        <x:v>accept</x:v>
      </x:c>
      <x:c r="W57" s="50" t="n">
        <x:f>'Reviewer View'!N57</x:f>
        <x:v>0.75</x:v>
      </x:c>
      <x:c r="X57" s="42" t="n">
        <x:f>'Reviewer View'!O57</x:f>
        <x:v>0</x:v>
      </x:c>
    </x:row>
    <x:row r="58">
      <x:c r="A58" s="40" t="str">
        <x:v>B057-132f52</x:v>
      </x:c>
      <x:c r="B58" s="41" t="str">
        <x:v>t01-pe-h04</x:v>
      </x:c>
      <x:c r="C58" s="41" t="n">
        <x:v>0</x:v>
      </x:c>
      <x:c r="D58" s="41" t="n">
        <x:f>'Reviewer View'!F58</x:f>
        <x:v>0</x:v>
      </x:c>
      <x:c r="E58" s="41" t="str">
        <x:v>Prediction does not capture the central observed feature of this dimension.</x:v>
      </x:c>
      <x:c r="F58" s="41" t="n">
        <x:v>1</x:v>
      </x:c>
      <x:c r="G58" s="41" t="n">
        <x:f>'Reviewer View'!G58</x:f>
        <x:v>1</x:v>
      </x:c>
      <x:c r="H58" s="41" t="str">
        <x:v>Prediction captures part of the observed dimension but misses or adds an important element.</x:v>
      </x:c>
      <x:c r="I58" s="41" t="n">
        <x:v>0</x:v>
      </x:c>
      <x:c r="J58" s="41" t="n">
        <x:f>'Reviewer View'!H58</x:f>
        <x:v>0</x:v>
      </x:c>
      <x:c r="K58" s="41" t="str">
        <x:v>Prediction does not capture the central observed feature of this dimension.</x:v>
      </x:c>
      <x:c r="L58" s="41" t="n">
        <x:v>1</x:v>
      </x:c>
      <x:c r="M58" s="41" t="n">
        <x:f>'Reviewer View'!I58</x:f>
        <x:v>1</x:v>
      </x:c>
      <x:c r="N58" s="41" t="str">
        <x:v>Prediction captures part of the observed dimension but misses or adds an important element.</x:v>
      </x:c>
      <x:c r="O58" s="41" t="n">
        <x:v>1</x:v>
      </x:c>
      <x:c r="P58" s="41" t="n">
        <x:f>'Reviewer View'!J58</x:f>
        <x:v>1</x:v>
      </x:c>
      <x:c r="Q58" s="41" t="str">
        <x:v>Escalation is adjacent in intensity but not exact.</x:v>
      </x:c>
      <x:c r="R58" s="41" t="n">
        <x:v>0</x:v>
      </x:c>
      <x:c r="S58" s="41" t="n">
        <x:f>'Reviewer View'!K58</x:f>
        <x:v>0</x:v>
      </x:c>
      <x:c r="T58" s="41" t="str">
        <x:v>Prediction does not capture the central observed feature of this dimension.</x:v>
      </x:c>
      <x:c r="U58" s="47" t="n">
        <x:f>SUM(D58,G58,J58,M58,P58,S58)</x:f>
        <x:v>3</x:v>
      </x:c>
      <x:c r="V58" s="41" t="str">
        <x:f>'Reviewer View'!M58</x:f>
        <x:v>accept</x:v>
      </x:c>
      <x:c r="W58" s="50" t="n">
        <x:f>'Reviewer View'!N58</x:f>
        <x:v>0.77</x:v>
      </x:c>
      <x:c r="X58" s="42" t="n">
        <x:f>'Reviewer View'!O58</x:f>
        <x:v>0</x:v>
      </x:c>
    </x:row>
    <x:row r="59">
      <x:c r="A59" s="40" t="str">
        <x:v>B058-5359ad</x:v>
      </x:c>
      <x:c r="B59" s="41" t="str">
        <x:v>t01-pe-h03</x:v>
      </x:c>
      <x:c r="C59" s="41" t="n">
        <x:v>2</x:v>
      </x:c>
      <x:c r="D59" s="41" t="n">
        <x:f>'Reviewer View'!F59</x:f>
        <x:v>2</x:v>
      </x:c>
      <x:c r="E59" s="41" t="str">
        <x:v>Prediction closely captures the observed dimension.</x:v>
      </x:c>
      <x:c r="F59" s="41" t="n">
        <x:v>0</x:v>
      </x:c>
      <x:c r="G59" s="41" t="n">
        <x:f>'Reviewer View'!G59</x:f>
        <x:v>0</x:v>
      </x:c>
      <x:c r="H59" s="41" t="str">
        <x:v>Prediction does not capture the central observed feature of this dimension.</x:v>
      </x:c>
      <x:c r="I59" s="41" t="n">
        <x:v>0</x:v>
      </x:c>
      <x:c r="J59" s="41" t="n">
        <x:f>'Reviewer View'!H59</x:f>
        <x:v>0</x:v>
      </x:c>
      <x:c r="K59" s="41" t="str">
        <x:v>Prediction does not capture the central observed feature of this dimension.</x:v>
      </x:c>
      <x:c r="L59" s="41" t="n">
        <x:v>0</x:v>
      </x:c>
      <x:c r="M59" s="41" t="n">
        <x:f>'Reviewer View'!I59</x:f>
        <x:v>0</x:v>
      </x:c>
      <x:c r="N59" s="41" t="str">
        <x:v>Prediction does not capture the central observed feature of this dimension.</x:v>
      </x:c>
      <x:c r="O59" s="41" t="n">
        <x:v>0</x:v>
      </x:c>
      <x:c r="P59" s="41" t="n">
        <x:f>'Reviewer View'!J59</x:f>
        <x:v>0</x:v>
      </x:c>
      <x:c r="Q59" s="41" t="str">
        <x:v>Escalation direction or intensity differs materially.</x:v>
      </x:c>
      <x:c r="R59" s="41" t="n">
        <x:v>1</x:v>
      </x:c>
      <x:c r="S59" s="41" t="n">
        <x:f>'Reviewer View'!K59</x:f>
        <x:v>1</x:v>
      </x:c>
      <x:c r="T59" s="41" t="str">
        <x:v>Prediction captures part of the observed dimension but misses or adds an important element.</x:v>
      </x:c>
      <x:c r="U59" s="47" t="n">
        <x:f>SUM(D59,G59,J59,M59,P59,S59)</x:f>
        <x:v>3</x:v>
      </x:c>
      <x:c r="V59" s="41" t="str">
        <x:f>'Reviewer View'!M59</x:f>
        <x:v>accept</x:v>
      </x:c>
      <x:c r="W59" s="50" t="n">
        <x:f>'Reviewer View'!N59</x:f>
        <x:v>0.82</x:v>
      </x:c>
      <x:c r="X59" s="42" t="n">
        <x:f>'Reviewer View'!O59</x:f>
        <x:v>0</x:v>
      </x:c>
    </x:row>
    <x:row r="60">
      <x:c r="A60" s="40" t="str">
        <x:v>B059-836c4d</x:v>
      </x:c>
      <x:c r="B60" s="41" t="str">
        <x:v>t01-pe-h01</x:v>
      </x:c>
      <x:c r="C60" s="41" t="n">
        <x:v>0</x:v>
      </x:c>
      <x:c r="D60" s="41" t="n">
        <x:f>'Reviewer View'!F60</x:f>
        <x:v>0</x:v>
      </x:c>
      <x:c r="E60" s="41" t="str">
        <x:v>Prediction does not capture the central observed feature of this dimension.</x:v>
      </x:c>
      <x:c r="F60" s="41" t="n">
        <x:v>0</x:v>
      </x:c>
      <x:c r="G60" s="41" t="n">
        <x:f>'Reviewer View'!G60</x:f>
        <x:v>0</x:v>
      </x:c>
      <x:c r="H60" s="41" t="str">
        <x:v>Prediction does not capture the central observed feature of this dimension.</x:v>
      </x:c>
      <x:c r="I60" s="41" t="n">
        <x:v>1</x:v>
      </x:c>
      <x:c r="J60" s="41" t="n">
        <x:f>'Reviewer View'!H60</x:f>
        <x:v>1</x:v>
      </x:c>
      <x:c r="K60" s="41" t="str">
        <x:v>Prediction captures part of the observed dimension but misses or adds an important element.</x:v>
      </x:c>
      <x:c r="L60" s="41" t="n">
        <x:v>2</x:v>
      </x:c>
      <x:c r="M60" s="41" t="n">
        <x:f>'Reviewer View'!I60</x:f>
        <x:v>2</x:v>
      </x:c>
      <x:c r="N60" s="41" t="str">
        <x:v>Prediction closely captures the observed dimension.</x:v>
      </x:c>
      <x:c r="O60" s="41" t="n">
        <x:v>0</x:v>
      </x:c>
      <x:c r="P60" s="41" t="n">
        <x:f>'Reviewer View'!J60</x:f>
        <x:v>0</x:v>
      </x:c>
      <x:c r="Q60" s="41" t="str">
        <x:v>Escalation direction or intensity differs materially.</x:v>
      </x:c>
      <x:c r="R60" s="41" t="n">
        <x:v>1</x:v>
      </x:c>
      <x:c r="S60" s="41" t="n">
        <x:f>'Reviewer View'!K60</x:f>
        <x:v>1</x:v>
      </x:c>
      <x:c r="T60" s="41" t="str">
        <x:v>Prediction captures part of the observed dimension but misses or adds an important element.</x:v>
      </x:c>
      <x:c r="U60" s="47" t="n">
        <x:f>SUM(D60,G60,J60,M60,P60,S60)</x:f>
        <x:v>4</x:v>
      </x:c>
      <x:c r="V60" s="41" t="str">
        <x:f>'Reviewer View'!M60</x:f>
        <x:v>accept</x:v>
      </x:c>
      <x:c r="W60" s="50" t="n">
        <x:f>'Reviewer View'!N60</x:f>
        <x:v>0.77</x:v>
      </x:c>
      <x:c r="X60" s="42" t="n">
        <x:f>'Reviewer View'!O60</x:f>
        <x:v>0</x:v>
      </x:c>
    </x:row>
    <x:row r="61">
      <x:c r="A61" s="40" t="str">
        <x:v>B060-e13368</x:v>
      </x:c>
      <x:c r="B61" s="41" t="str">
        <x:v>t01-pe-h03</x:v>
      </x:c>
      <x:c r="C61" s="41" t="n">
        <x:v>2</x:v>
      </x:c>
      <x:c r="D61" s="41" t="n">
        <x:f>'Reviewer View'!F61</x:f>
        <x:v>2</x:v>
      </x:c>
      <x:c r="E61" s="41" t="str">
        <x:v>Prediction closely captures the observed dimension.</x:v>
      </x:c>
      <x:c r="F61" s="41" t="n">
        <x:v>2</x:v>
      </x:c>
      <x:c r="G61" s="41" t="n">
        <x:f>'Reviewer View'!G61</x:f>
        <x:v>2</x:v>
      </x:c>
      <x:c r="H61" s="41" t="str">
        <x:v>Prediction closely captures the observed dimension.</x:v>
      </x:c>
      <x:c r="I61" s="41" t="n">
        <x:v>0</x:v>
      </x:c>
      <x:c r="J61" s="41" t="n">
        <x:f>'Reviewer View'!H61</x:f>
        <x:v>0</x:v>
      </x:c>
      <x:c r="K61" s="41" t="str">
        <x:v>Prediction does not capture the central observed feature of this dimension.</x:v>
      </x:c>
      <x:c r="L61" s="41" t="n">
        <x:v>1</x:v>
      </x:c>
      <x:c r="M61" s="41" t="n">
        <x:f>'Reviewer View'!I61</x:f>
        <x:v>1</x:v>
      </x:c>
      <x:c r="N61" s="41" t="str">
        <x:v>Prediction captures part of the observed dimension but misses or adds an important element.</x:v>
      </x:c>
      <x:c r="O61" s="41" t="n">
        <x:v>0</x:v>
      </x:c>
      <x:c r="P61" s="41" t="n">
        <x:f>'Reviewer View'!J61</x:f>
        <x:v>0</x:v>
      </x:c>
      <x:c r="Q61" s="41" t="str">
        <x:v>Escalation direction or intensity differs materially.</x:v>
      </x:c>
      <x:c r="R61" s="41" t="n">
        <x:v>1</x:v>
      </x:c>
      <x:c r="S61" s="41" t="n">
        <x:f>'Reviewer View'!K61</x:f>
        <x:v>1</x:v>
      </x:c>
      <x:c r="T61" s="41" t="str">
        <x:v>Prediction captures part of the observed dimension but misses or adds an important element.</x:v>
      </x:c>
      <x:c r="U61" s="47" t="n">
        <x:f>SUM(D61,G61,J61,M61,P61,S61)</x:f>
        <x:v>6</x:v>
      </x:c>
      <x:c r="V61" s="41" t="str">
        <x:f>'Reviewer View'!M61</x:f>
        <x:v>accept</x:v>
      </x:c>
      <x:c r="W61" s="50" t="n">
        <x:f>'Reviewer View'!N61</x:f>
        <x:v>0.77</x:v>
      </x:c>
      <x:c r="X61" s="42" t="n">
        <x:f>'Reviewer View'!O61</x:f>
        <x:v>0</x:v>
      </x:c>
    </x:row>
    <x:row r="62">
      <x:c r="A62" s="40" t="str">
        <x:v>B061-005c0e</x:v>
      </x:c>
      <x:c r="B62" s="41" t="str">
        <x:v>t01-pe-h03</x:v>
      </x:c>
      <x:c r="C62" s="41" t="n">
        <x:v>2</x:v>
      </x:c>
      <x:c r="D62" s="41" t="n">
        <x:f>'Reviewer View'!F62</x:f>
        <x:v>2</x:v>
      </x:c>
      <x:c r="E62" s="41" t="str">
        <x:v>Prediction closely captures the observed dimension.</x:v>
      </x:c>
      <x:c r="F62" s="41" t="n">
        <x:v>1</x:v>
      </x:c>
      <x:c r="G62" s="41" t="n">
        <x:f>'Reviewer View'!G62</x:f>
        <x:v>1</x:v>
      </x:c>
      <x:c r="H62" s="41" t="str">
        <x:v>Prediction captures part of the observed dimension but misses or adds an important element.</x:v>
      </x:c>
      <x:c r="I62" s="41" t="n">
        <x:v>1</x:v>
      </x:c>
      <x:c r="J62" s="41" t="n">
        <x:f>'Reviewer View'!H62</x:f>
        <x:v>1</x:v>
      </x:c>
      <x:c r="K62" s="41" t="str">
        <x:v>Prediction captures part of the observed dimension but misses or adds an important element.</x:v>
      </x:c>
      <x:c r="L62" s="41" t="n">
        <x:v>0</x:v>
      </x:c>
      <x:c r="M62" s="41" t="n">
        <x:f>'Reviewer View'!I62</x:f>
        <x:v>0</x:v>
      </x:c>
      <x:c r="N62" s="41" t="str">
        <x:v>Prediction does not capture the central observed feature of this dimension.</x:v>
      </x:c>
      <x:c r="O62" s="41" t="n">
        <x:v>0</x:v>
      </x:c>
      <x:c r="P62" s="41" t="n">
        <x:f>'Reviewer View'!J62</x:f>
        <x:v>0</x:v>
      </x:c>
      <x:c r="Q62" s="41" t="str">
        <x:v>Escalation direction or intensity differs materially.</x:v>
      </x:c>
      <x:c r="R62" s="41" t="n">
        <x:v>0</x:v>
      </x:c>
      <x:c r="S62" s="41" t="n">
        <x:f>'Reviewer View'!K62</x:f>
        <x:v>0</x:v>
      </x:c>
      <x:c r="T62" s="41" t="str">
        <x:v>Prediction does not capture the central observed feature of this dimension.</x:v>
      </x:c>
      <x:c r="U62" s="47" t="n">
        <x:f>SUM(D62,G62,J62,M62,P62,S62)</x:f>
        <x:v>4</x:v>
      </x:c>
      <x:c r="V62" s="41" t="str">
        <x:f>'Reviewer View'!M62</x:f>
        <x:v>accept</x:v>
      </x:c>
      <x:c r="W62" s="50" t="n">
        <x:f>'Reviewer View'!N62</x:f>
        <x:v>0.75</x:v>
      </x:c>
      <x:c r="X62" s="42" t="n">
        <x:f>'Reviewer View'!O62</x:f>
        <x:v>0</x:v>
      </x:c>
    </x:row>
    <x:row r="63">
      <x:c r="A63" s="40" t="str">
        <x:v>B062-066d6c</x:v>
      </x:c>
      <x:c r="B63" s="41" t="str">
        <x:v>t01-pe-h02</x:v>
      </x:c>
      <x:c r="C63" s="41" t="n">
        <x:v>1</x:v>
      </x:c>
      <x:c r="D63" s="41" t="n">
        <x:f>'Reviewer View'!F63</x:f>
        <x:v>1</x:v>
      </x:c>
      <x:c r="E63" s="41" t="str">
        <x:v>Prediction captures part of the observed dimension but misses or adds an important element.</x:v>
      </x:c>
      <x:c r="F63" s="41" t="n">
        <x:v>2</x:v>
      </x:c>
      <x:c r="G63" s="41" t="n">
        <x:f>'Reviewer View'!G63</x:f>
        <x:v>2</x:v>
      </x:c>
      <x:c r="H63" s="41" t="str">
        <x:v>Prediction closely captures the observed dimension.</x:v>
      </x:c>
      <x:c r="I63" s="41" t="n">
        <x:v>1</x:v>
      </x:c>
      <x:c r="J63" s="41" t="n">
        <x:f>'Reviewer View'!H63</x:f>
        <x:v>1</x:v>
      </x:c>
      <x:c r="K63" s="41" t="str">
        <x:v>Prediction captures part of the observed dimension but misses or adds an important element.</x:v>
      </x:c>
      <x:c r="L63" s="41" t="n">
        <x:v>2</x:v>
      </x:c>
      <x:c r="M63" s="41" t="n">
        <x:f>'Reviewer View'!I63</x:f>
        <x:v>2</x:v>
      </x:c>
      <x:c r="N63" s="41" t="str">
        <x:v>Prediction closely captures the observed dimension.</x:v>
      </x:c>
      <x:c r="O63" s="41" t="n">
        <x:v>2</x:v>
      </x:c>
      <x:c r="P63" s="41" t="n">
        <x:f>'Reviewer View'!J63</x:f>
        <x:v>2</x:v>
      </x:c>
      <x:c r="Q63" s="41" t="str">
        <x:v>Escalation direction matches the observed response.</x:v>
      </x:c>
      <x:c r="R63" s="41" t="n">
        <x:v>0</x:v>
      </x:c>
      <x:c r="S63" s="41" t="n">
        <x:f>'Reviewer View'!K63</x:f>
        <x:v>0</x:v>
      </x:c>
      <x:c r="T63" s="41" t="str">
        <x:v>Prediction does not capture the central observed feature of this dimension.</x:v>
      </x:c>
      <x:c r="U63" s="47" t="n">
        <x:f>SUM(D63,G63,J63,M63,P63,S63)</x:f>
        <x:v>8</x:v>
      </x:c>
      <x:c r="V63" s="41" t="str">
        <x:f>'Reviewer View'!M63</x:f>
        <x:v>accept</x:v>
      </x:c>
      <x:c r="W63" s="50" t="n">
        <x:f>'Reviewer View'!N63</x:f>
        <x:v>0.76</x:v>
      </x:c>
      <x:c r="X63" s="42" t="n">
        <x:f>'Reviewer View'!O63</x:f>
        <x:v>0</x:v>
      </x:c>
    </x:row>
    <x:row r="64">
      <x:c r="A64" s="40" t="str">
        <x:v>B063-697be9</x:v>
      </x:c>
      <x:c r="B64" s="41" t="str">
        <x:v>t01-pe-h02</x:v>
      </x:c>
      <x:c r="C64" s="41" t="n">
        <x:v>1</x:v>
      </x:c>
      <x:c r="D64" s="41" t="n">
        <x:f>'Reviewer View'!F64</x:f>
        <x:v>1</x:v>
      </x:c>
      <x:c r="E64" s="41" t="str">
        <x:v>Prediction captures part of the observed dimension but misses or adds an important element.</x:v>
      </x:c>
      <x:c r="F64" s="41" t="n">
        <x:v>1</x:v>
      </x:c>
      <x:c r="G64" s="41" t="n">
        <x:f>'Reviewer View'!G64</x:f>
        <x:v>1</x:v>
      </x:c>
      <x:c r="H64" s="41" t="str">
        <x:v>Prediction captures part of the observed dimension but misses or adds an important element.</x:v>
      </x:c>
      <x:c r="I64" s="41" t="n">
        <x:v>0</x:v>
      </x:c>
      <x:c r="J64" s="41" t="n">
        <x:f>'Reviewer View'!H64</x:f>
        <x:v>0</x:v>
      </x:c>
      <x:c r="K64" s="41" t="str">
        <x:v>Prediction does not capture the central observed feature of this dimension.</x:v>
      </x:c>
      <x:c r="L64" s="41" t="n">
        <x:v>2</x:v>
      </x:c>
      <x:c r="M64" s="41" t="n">
        <x:f>'Reviewer View'!I64</x:f>
        <x:v>2</x:v>
      </x:c>
      <x:c r="N64" s="41" t="str">
        <x:v>Prediction closely captures the observed dimension.</x:v>
      </x:c>
      <x:c r="O64" s="41" t="n">
        <x:v>2</x:v>
      </x:c>
      <x:c r="P64" s="41" t="n">
        <x:f>'Reviewer View'!J64</x:f>
        <x:v>2</x:v>
      </x:c>
      <x:c r="Q64" s="41" t="str">
        <x:v>Escalation direction matches the observed response.</x:v>
      </x:c>
      <x:c r="R64" s="41" t="n">
        <x:v>0</x:v>
      </x:c>
      <x:c r="S64" s="41" t="n">
        <x:f>'Reviewer View'!K64</x:f>
        <x:v>0</x:v>
      </x:c>
      <x:c r="T64" s="41" t="str">
        <x:v>Prediction does not capture the central observed feature of this dimension.</x:v>
      </x:c>
      <x:c r="U64" s="47" t="n">
        <x:f>SUM(D64,G64,J64,M64,P64,S64)</x:f>
        <x:v>6</x:v>
      </x:c>
      <x:c r="V64" s="41" t="str">
        <x:f>'Reviewer View'!M64</x:f>
        <x:v>accept</x:v>
      </x:c>
      <x:c r="W64" s="50" t="n">
        <x:f>'Reviewer View'!N64</x:f>
        <x:v>0.78</x:v>
      </x:c>
      <x:c r="X64" s="42" t="n">
        <x:f>'Reviewer View'!O64</x:f>
        <x:v>0</x:v>
      </x:c>
    </x:row>
    <x:row r="65">
      <x:c r="A65" s="40" t="str">
        <x:v>B064-58c4ec</x:v>
      </x:c>
      <x:c r="B65" s="41" t="str">
        <x:v>t01-pe-h01</x:v>
      </x:c>
      <x:c r="C65" s="41" t="n">
        <x:v>0</x:v>
      </x:c>
      <x:c r="D65" s="41" t="n">
        <x:f>'Reviewer View'!F65</x:f>
        <x:v>0</x:v>
      </x:c>
      <x:c r="E65" s="41" t="str">
        <x:v>Prediction does not capture the central observed feature of this dimension.</x:v>
      </x:c>
      <x:c r="F65" s="41" t="n">
        <x:v>0</x:v>
      </x:c>
      <x:c r="G65" s="41" t="n">
        <x:f>'Reviewer View'!G65</x:f>
        <x:v>0</x:v>
      </x:c>
      <x:c r="H65" s="41" t="str">
        <x:v>Prediction does not capture the central observed feature of this dimension.</x:v>
      </x:c>
      <x:c r="I65" s="41" t="n">
        <x:v>1</x:v>
      </x:c>
      <x:c r="J65" s="41" t="n">
        <x:f>'Reviewer View'!H65</x:f>
        <x:v>1</x:v>
      </x:c>
      <x:c r="K65" s="41" t="str">
        <x:v>Prediction captures part of the observed dimension but misses or adds an important element.</x:v>
      </x:c>
      <x:c r="L65" s="41" t="n">
        <x:v>1</x:v>
      </x:c>
      <x:c r="M65" s="41" t="n">
        <x:f>'Reviewer View'!I65</x:f>
        <x:v>1</x:v>
      </x:c>
      <x:c r="N65" s="41" t="str">
        <x:v>Prediction captures part of the observed dimension but misses or adds an important element.</x:v>
      </x:c>
      <x:c r="O65" s="41" t="n">
        <x:v>1</x:v>
      </x:c>
      <x:c r="P65" s="41" t="n">
        <x:f>'Reviewer View'!J65</x:f>
        <x:v>1</x:v>
      </x:c>
      <x:c r="Q65" s="41" t="str">
        <x:v>Escalation is adjacent in intensity but not exact.</x:v>
      </x:c>
      <x:c r="R65" s="41" t="n">
        <x:v>1</x:v>
      </x:c>
      <x:c r="S65" s="41" t="n">
        <x:f>'Reviewer View'!K65</x:f>
        <x:v>1</x:v>
      </x:c>
      <x:c r="T65" s="41" t="str">
        <x:v>Prediction captures part of the observed dimension but misses or adds an important element.</x:v>
      </x:c>
      <x:c r="U65" s="47" t="n">
        <x:f>SUM(D65,G65,J65,M65,P65,S65)</x:f>
        <x:v>4</x:v>
      </x:c>
      <x:c r="V65" s="41" t="str">
        <x:f>'Reviewer View'!M65</x:f>
        <x:v>accept</x:v>
      </x:c>
      <x:c r="W65" s="50" t="n">
        <x:f>'Reviewer View'!N65</x:f>
        <x:v>0.71</x:v>
      </x:c>
      <x:c r="X65" s="42" t="n">
        <x:f>'Reviewer View'!O65</x:f>
        <x:v>0</x:v>
      </x:c>
    </x:row>
    <x:row r="66">
      <x:c r="A66" s="40" t="str">
        <x:v>B065-5bfbd0</x:v>
      </x:c>
      <x:c r="B66" s="41" t="str">
        <x:v>t01-pe-h03</x:v>
      </x:c>
      <x:c r="C66" s="41" t="n">
        <x:v>2</x:v>
      </x:c>
      <x:c r="D66" s="41" t="n">
        <x:f>'Reviewer View'!F66</x:f>
        <x:v>2</x:v>
      </x:c>
      <x:c r="E66" s="41" t="str">
        <x:v>Prediction closely captures the observed dimension.</x:v>
      </x:c>
      <x:c r="F66" s="41" t="n">
        <x:v>1</x:v>
      </x:c>
      <x:c r="G66" s="41" t="n">
        <x:f>'Reviewer View'!G66</x:f>
        <x:v>1</x:v>
      </x:c>
      <x:c r="H66" s="41" t="str">
        <x:v>Prediction captures part of the observed dimension but misses or adds an important element.</x:v>
      </x:c>
      <x:c r="I66" s="41" t="n">
        <x:v>0</x:v>
      </x:c>
      <x:c r="J66" s="41" t="n">
        <x:f>'Reviewer View'!H66</x:f>
        <x:v>0</x:v>
      </x:c>
      <x:c r="K66" s="41" t="str">
        <x:v>Prediction does not capture the central observed feature of this dimension.</x:v>
      </x:c>
      <x:c r="L66" s="41" t="n">
        <x:v>1</x:v>
      </x:c>
      <x:c r="M66" s="41" t="n">
        <x:f>'Reviewer View'!I66</x:f>
        <x:v>1</x:v>
      </x:c>
      <x:c r="N66" s="41" t="str">
        <x:v>Prediction captures part of the observed dimension but misses or adds an important element.</x:v>
      </x:c>
      <x:c r="O66" s="41" t="n">
        <x:v>0</x:v>
      </x:c>
      <x:c r="P66" s="41" t="n">
        <x:f>'Reviewer View'!J66</x:f>
        <x:v>0</x:v>
      </x:c>
      <x:c r="Q66" s="41" t="str">
        <x:v>Escalation direction or intensity differs materially.</x:v>
      </x:c>
      <x:c r="R66" s="41" t="n">
        <x:v>1</x:v>
      </x:c>
      <x:c r="S66" s="41" t="n">
        <x:f>'Reviewer View'!K66</x:f>
        <x:v>1</x:v>
      </x:c>
      <x:c r="T66" s="41" t="str">
        <x:v>Prediction captures part of the observed dimension but misses or adds an important element.</x:v>
      </x:c>
      <x:c r="U66" s="47" t="n">
        <x:f>SUM(D66,G66,J66,M66,P66,S66)</x:f>
        <x:v>5</x:v>
      </x:c>
      <x:c r="V66" s="41" t="str">
        <x:f>'Reviewer View'!M66</x:f>
        <x:v>accept</x:v>
      </x:c>
      <x:c r="W66" s="50" t="n">
        <x:f>'Reviewer View'!N66</x:f>
        <x:v>0.77</x:v>
      </x:c>
      <x:c r="X66" s="42" t="n">
        <x:f>'Reviewer View'!O66</x:f>
        <x:v>0</x:v>
      </x:c>
    </x:row>
    <x:row r="67">
      <x:c r="A67" s="40" t="str">
        <x:v>B066-0b3900</x:v>
      </x:c>
      <x:c r="B67" s="41" t="str">
        <x:v>t01-pe-h04</x:v>
      </x:c>
      <x:c r="C67" s="41" t="n">
        <x:v>0</x:v>
      </x:c>
      <x:c r="D67" s="41" t="n">
        <x:f>'Reviewer View'!F67</x:f>
        <x:v>0</x:v>
      </x:c>
      <x:c r="E67" s="41" t="str">
        <x:v>Prediction does not capture the central observed feature of this dimension.</x:v>
      </x:c>
      <x:c r="F67" s="41" t="n">
        <x:v>1</x:v>
      </x:c>
      <x:c r="G67" s="41" t="n">
        <x:f>'Reviewer View'!G67</x:f>
        <x:v>1</x:v>
      </x:c>
      <x:c r="H67" s="41" t="str">
        <x:v>Prediction captures part of the observed dimension but misses or adds an important element.</x:v>
      </x:c>
      <x:c r="I67" s="41" t="n">
        <x:v>0</x:v>
      </x:c>
      <x:c r="J67" s="41" t="n">
        <x:f>'Reviewer View'!H67</x:f>
        <x:v>0</x:v>
      </x:c>
      <x:c r="K67" s="41" t="str">
        <x:v>Prediction does not capture the central observed feature of this dimension.</x:v>
      </x:c>
      <x:c r="L67" s="41" t="n">
        <x:v>1</x:v>
      </x:c>
      <x:c r="M67" s="41" t="n">
        <x:f>'Reviewer View'!I67</x:f>
        <x:v>1</x:v>
      </x:c>
      <x:c r="N67" s="41" t="str">
        <x:v>Prediction captures part of the observed dimension but misses or adds an important element.</x:v>
      </x:c>
      <x:c r="O67" s="41" t="n">
        <x:v>0</x:v>
      </x:c>
      <x:c r="P67" s="41" t="n">
        <x:f>'Reviewer View'!J67</x:f>
        <x:v>0</x:v>
      </x:c>
      <x:c r="Q67" s="41" t="str">
        <x:v>Escalation direction or intensity differs materially.</x:v>
      </x:c>
      <x:c r="R67" s="41" t="n">
        <x:v>2</x:v>
      </x:c>
      <x:c r="S67" s="41" t="n">
        <x:f>'Reviewer View'!K67</x:f>
        <x:v>2</x:v>
      </x:c>
      <x:c r="T67" s="41" t="str">
        <x:v>Prediction closely captures the observed dimension.</x:v>
      </x:c>
      <x:c r="U67" s="47" t="n">
        <x:f>SUM(D67,G67,J67,M67,P67,S67)</x:f>
        <x:v>4</x:v>
      </x:c>
      <x:c r="V67" s="41" t="str">
        <x:f>'Reviewer View'!M67</x:f>
        <x:v>accept</x:v>
      </x:c>
      <x:c r="W67" s="50" t="n">
        <x:f>'Reviewer View'!N67</x:f>
        <x:v>0.79</x:v>
      </x:c>
      <x:c r="X67" s="42" t="n">
        <x:f>'Reviewer View'!O67</x:f>
        <x:v>0</x:v>
      </x:c>
    </x:row>
    <x:row r="68">
      <x:c r="A68" s="40" t="str">
        <x:v>B067-80affd</x:v>
      </x:c>
      <x:c r="B68" s="41" t="str">
        <x:v>t01-pe-h04</x:v>
      </x:c>
      <x:c r="C68" s="41" t="n">
        <x:v>0</x:v>
      </x:c>
      <x:c r="D68" s="41" t="n">
        <x:f>'Reviewer View'!F68</x:f>
        <x:v>0</x:v>
      </x:c>
      <x:c r="E68" s="41" t="str">
        <x:v>Prediction does not capture the central observed feature of this dimension.</x:v>
      </x:c>
      <x:c r="F68" s="41" t="n">
        <x:v>0</x:v>
      </x:c>
      <x:c r="G68" s="41" t="n">
        <x:f>'Reviewer View'!G68</x:f>
        <x:v>0</x:v>
      </x:c>
      <x:c r="H68" s="41" t="str">
        <x:v>Prediction does not capture the central observed feature of this dimension.</x:v>
      </x:c>
      <x:c r="I68" s="41" t="n">
        <x:v>0</x:v>
      </x:c>
      <x:c r="J68" s="41" t="n">
        <x:f>'Reviewer View'!H68</x:f>
        <x:v>0</x:v>
      </x:c>
      <x:c r="K68" s="41" t="str">
        <x:v>Prediction does not capture the central observed feature of this dimension.</x:v>
      </x:c>
      <x:c r="L68" s="41" t="n">
        <x:v>1</x:v>
      </x:c>
      <x:c r="M68" s="41" t="n">
        <x:f>'Reviewer View'!I68</x:f>
        <x:v>1</x:v>
      </x:c>
      <x:c r="N68" s="41" t="str">
        <x:v>Prediction captures part of the observed dimension but misses or adds an important element.</x:v>
      </x:c>
      <x:c r="O68" s="41" t="n">
        <x:v>1</x:v>
      </x:c>
      <x:c r="P68" s="41" t="n">
        <x:f>'Reviewer View'!J68</x:f>
        <x:v>1</x:v>
      </x:c>
      <x:c r="Q68" s="41" t="str">
        <x:v>Escalation is adjacent in intensity but not exact.</x:v>
      </x:c>
      <x:c r="R68" s="41" t="n">
        <x:v>1</x:v>
      </x:c>
      <x:c r="S68" s="41" t="n">
        <x:f>'Reviewer View'!K68</x:f>
        <x:v>1</x:v>
      </x:c>
      <x:c r="T68" s="41" t="str">
        <x:v>Prediction captures part of the observed dimension but misses or adds an important element.</x:v>
      </x:c>
      <x:c r="U68" s="47" t="n">
        <x:f>SUM(D68,G68,J68,M68,P68,S68)</x:f>
        <x:v>3</x:v>
      </x:c>
      <x:c r="V68" s="41" t="str">
        <x:f>'Reviewer View'!M68</x:f>
        <x:v>accept</x:v>
      </x:c>
      <x:c r="W68" s="50" t="n">
        <x:f>'Reviewer View'!N68</x:f>
        <x:v>0.75</x:v>
      </x:c>
      <x:c r="X68" s="42" t="n">
        <x:f>'Reviewer View'!O68</x:f>
        <x:v>0</x:v>
      </x:c>
    </x:row>
    <x:row r="69">
      <x:c r="A69" s="40" t="str">
        <x:v>B068-23f15d</x:v>
      </x:c>
      <x:c r="B69" s="41" t="str">
        <x:v>t01-pe-h04</x:v>
      </x:c>
      <x:c r="C69" s="41" t="n">
        <x:v>0</x:v>
      </x:c>
      <x:c r="D69" s="41" t="n">
        <x:f>'Reviewer View'!F69</x:f>
        <x:v>0</x:v>
      </x:c>
      <x:c r="E69" s="41" t="str">
        <x:v>Prediction does not capture the central observed feature of this dimension.</x:v>
      </x:c>
      <x:c r="F69" s="41" t="n">
        <x:v>1</x:v>
      </x:c>
      <x:c r="G69" s="41" t="n">
        <x:f>'Reviewer View'!G69</x:f>
        <x:v>1</x:v>
      </x:c>
      <x:c r="H69" s="41" t="str">
        <x:v>Prediction captures part of the observed dimension but misses or adds an important element.</x:v>
      </x:c>
      <x:c r="I69" s="41" t="n">
        <x:v>0</x:v>
      </x:c>
      <x:c r="J69" s="41" t="n">
        <x:f>'Reviewer View'!H69</x:f>
        <x:v>0</x:v>
      </x:c>
      <x:c r="K69" s="41" t="str">
        <x:v>Prediction does not capture the central observed feature of this dimension.</x:v>
      </x:c>
      <x:c r="L69" s="41" t="n">
        <x:v>0</x:v>
      </x:c>
      <x:c r="M69" s="41" t="n">
        <x:f>'Reviewer View'!I69</x:f>
        <x:v>0</x:v>
      </x:c>
      <x:c r="N69" s="41" t="str">
        <x:v>Prediction does not capture the central observed feature of this dimension.</x:v>
      </x:c>
      <x:c r="O69" s="41" t="n">
        <x:v>0</x:v>
      </x:c>
      <x:c r="P69" s="41" t="n">
        <x:f>'Reviewer View'!J69</x:f>
        <x:v>0</x:v>
      </x:c>
      <x:c r="Q69" s="41" t="str">
        <x:v>Escalation direction or intensity differs materially.</x:v>
      </x:c>
      <x:c r="R69" s="41" t="n">
        <x:v>0</x:v>
      </x:c>
      <x:c r="S69" s="41" t="n">
        <x:f>'Reviewer View'!K69</x:f>
        <x:v>0</x:v>
      </x:c>
      <x:c r="T69" s="41" t="str">
        <x:v>Prediction does not capture the central observed feature of this dimension.</x:v>
      </x:c>
      <x:c r="U69" s="47" t="n">
        <x:f>SUM(D69,G69,J69,M69,P69,S69)</x:f>
        <x:v>1</x:v>
      </x:c>
      <x:c r="V69" s="41" t="str">
        <x:f>'Reviewer View'!M69</x:f>
        <x:v>accept</x:v>
      </x:c>
      <x:c r="W69" s="50" t="n">
        <x:f>'Reviewer View'!N69</x:f>
        <x:v>0.84</x:v>
      </x:c>
      <x:c r="X69" s="42" t="n">
        <x:f>'Reviewer View'!O69</x:f>
        <x:v>0</x:v>
      </x:c>
    </x:row>
    <x:row r="70">
      <x:c r="A70" s="40" t="str">
        <x:v>B069-f44a92</x:v>
      </x:c>
      <x:c r="B70" s="41" t="str">
        <x:v>t01-pe-h01</x:v>
      </x:c>
      <x:c r="C70" s="41" t="n">
        <x:v>0</x:v>
      </x:c>
      <x:c r="D70" s="41" t="n">
        <x:f>'Reviewer View'!F70</x:f>
        <x:v>0</x:v>
      </x:c>
      <x:c r="E70" s="41" t="str">
        <x:v>Prediction does not capture the central observed feature of this dimension.</x:v>
      </x:c>
      <x:c r="F70" s="41" t="n">
        <x:v>0</x:v>
      </x:c>
      <x:c r="G70" s="41" t="n">
        <x:f>'Reviewer View'!G70</x:f>
        <x:v>0</x:v>
      </x:c>
      <x:c r="H70" s="41" t="str">
        <x:v>Prediction does not capture the central observed feature of this dimension.</x:v>
      </x:c>
      <x:c r="I70" s="41" t="n">
        <x:v>1</x:v>
      </x:c>
      <x:c r="J70" s="41" t="n">
        <x:f>'Reviewer View'!H70</x:f>
        <x:v>1</x:v>
      </x:c>
      <x:c r="K70" s="41" t="str">
        <x:v>Prediction captures part of the observed dimension but misses or adds an important element.</x:v>
      </x:c>
      <x:c r="L70" s="41" t="n">
        <x:v>2</x:v>
      </x:c>
      <x:c r="M70" s="41" t="n">
        <x:f>'Reviewer View'!I70</x:f>
        <x:v>2</x:v>
      </x:c>
      <x:c r="N70" s="41" t="str">
        <x:v>Prediction closely captures the observed dimension.</x:v>
      </x:c>
      <x:c r="O70" s="41" t="n">
        <x:v>0</x:v>
      </x:c>
      <x:c r="P70" s="41" t="n">
        <x:f>'Reviewer View'!J70</x:f>
        <x:v>0</x:v>
      </x:c>
      <x:c r="Q70" s="41" t="str">
        <x:v>Escalation direction or intensity differs materially.</x:v>
      </x:c>
      <x:c r="R70" s="41" t="n">
        <x:v>1</x:v>
      </x:c>
      <x:c r="S70" s="41" t="n">
        <x:f>'Reviewer View'!K70</x:f>
        <x:v>1</x:v>
      </x:c>
      <x:c r="T70" s="41" t="str">
        <x:v>Prediction captures part of the observed dimension but misses or adds an important element.</x:v>
      </x:c>
      <x:c r="U70" s="47" t="n">
        <x:f>SUM(D70,G70,J70,M70,P70,S70)</x:f>
        <x:v>4</x:v>
      </x:c>
      <x:c r="V70" s="41" t="str">
        <x:f>'Reviewer View'!M70</x:f>
        <x:v>accept</x:v>
      </x:c>
      <x:c r="W70" s="50" t="n">
        <x:f>'Reviewer View'!N70</x:f>
        <x:v>0.75</x:v>
      </x:c>
      <x:c r="X70" s="42" t="n">
        <x:f>'Reviewer View'!O70</x:f>
        <x:v>0</x:v>
      </x:c>
    </x:row>
    <x:row r="71">
      <x:c r="A71" s="40" t="str">
        <x:v>B070-f52944</x:v>
      </x:c>
      <x:c r="B71" s="41" t="str">
        <x:v>t01-pe-h01</x:v>
      </x:c>
      <x:c r="C71" s="41" t="n">
        <x:v>0</x:v>
      </x:c>
      <x:c r="D71" s="41" t="n">
        <x:f>'Reviewer View'!F71</x:f>
        <x:v>0</x:v>
      </x:c>
      <x:c r="E71" s="41" t="str">
        <x:v>Prediction does not capture the central observed feature of this dimension.</x:v>
      </x:c>
      <x:c r="F71" s="41" t="n">
        <x:v>1</x:v>
      </x:c>
      <x:c r="G71" s="41" t="n">
        <x:f>'Reviewer View'!G71</x:f>
        <x:v>1</x:v>
      </x:c>
      <x:c r="H71" s="41" t="str">
        <x:v>Prediction captures part of the observed dimension but misses or adds an important element.</x:v>
      </x:c>
      <x:c r="I71" s="41" t="n">
        <x:v>1</x:v>
      </x:c>
      <x:c r="J71" s="41" t="n">
        <x:f>'Reviewer View'!H71</x:f>
        <x:v>1</x:v>
      </x:c>
      <x:c r="K71" s="41" t="str">
        <x:v>Prediction captures part of the observed dimension but misses or adds an important element.</x:v>
      </x:c>
      <x:c r="L71" s="41" t="n">
        <x:v>2</x:v>
      </x:c>
      <x:c r="M71" s="41" t="n">
        <x:f>'Reviewer View'!I71</x:f>
        <x:v>2</x:v>
      </x:c>
      <x:c r="N71" s="41" t="str">
        <x:v>Prediction closely captures the observed dimension.</x:v>
      </x:c>
      <x:c r="O71" s="41" t="n">
        <x:v>0</x:v>
      </x:c>
      <x:c r="P71" s="41" t="n">
        <x:f>'Reviewer View'!J71</x:f>
        <x:v>0</x:v>
      </x:c>
      <x:c r="Q71" s="41" t="str">
        <x:v>Escalation direction or intensity differs materially.</x:v>
      </x:c>
      <x:c r="R71" s="41" t="n">
        <x:v>1</x:v>
      </x:c>
      <x:c r="S71" s="41" t="n">
        <x:f>'Reviewer View'!K71</x:f>
        <x:v>1</x:v>
      </x:c>
      <x:c r="T71" s="41" t="str">
        <x:v>Prediction captures part of the observed dimension but misses or adds an important element.</x:v>
      </x:c>
      <x:c r="U71" s="47" t="n">
        <x:f>SUM(D71,G71,J71,M71,P71,S71)</x:f>
        <x:v>5</x:v>
      </x:c>
      <x:c r="V71" s="41" t="str">
        <x:f>'Reviewer View'!M71</x:f>
        <x:v>accept</x:v>
      </x:c>
      <x:c r="W71" s="50" t="n">
        <x:f>'Reviewer View'!N71</x:f>
        <x:v>0.75</x:v>
      </x:c>
      <x:c r="X71" s="42" t="n">
        <x:f>'Reviewer View'!O71</x:f>
        <x:v>0</x:v>
      </x:c>
    </x:row>
    <x:row r="72">
      <x:c r="A72" s="40" t="str">
        <x:v>B071-298762</x:v>
      </x:c>
      <x:c r="B72" s="41" t="str">
        <x:v>t01-pe-h03</x:v>
      </x:c>
      <x:c r="C72" s="41" t="n">
        <x:v>2</x:v>
      </x:c>
      <x:c r="D72" s="41" t="n">
        <x:f>'Reviewer View'!F72</x:f>
        <x:v>2</x:v>
      </x:c>
      <x:c r="E72" s="41" t="str">
        <x:v>Prediction closely captures the observed dimension.</x:v>
      </x:c>
      <x:c r="F72" s="41" t="n">
        <x:v>2</x:v>
      </x:c>
      <x:c r="G72" s="41" t="n">
        <x:f>'Reviewer View'!G72</x:f>
        <x:v>2</x:v>
      </x:c>
      <x:c r="H72" s="41" t="str">
        <x:v>Prediction closely captures the observed dimension.</x:v>
      </x:c>
      <x:c r="I72" s="41" t="n">
        <x:v>1</x:v>
      </x:c>
      <x:c r="J72" s="41" t="n">
        <x:f>'Reviewer View'!H72</x:f>
        <x:v>1</x:v>
      </x:c>
      <x:c r="K72" s="41" t="str">
        <x:v>Prediction captures part of the observed dimension but misses or adds an important element.</x:v>
      </x:c>
      <x:c r="L72" s="41" t="n">
        <x:v>1</x:v>
      </x:c>
      <x:c r="M72" s="41" t="n">
        <x:f>'Reviewer View'!I72</x:f>
        <x:v>1</x:v>
      </x:c>
      <x:c r="N72" s="41" t="str">
        <x:v>Prediction captures part of the observed dimension but misses or adds an important element.</x:v>
      </x:c>
      <x:c r="O72" s="41" t="n">
        <x:v>0</x:v>
      </x:c>
      <x:c r="P72" s="41" t="n">
        <x:f>'Reviewer View'!J72</x:f>
        <x:v>0</x:v>
      </x:c>
      <x:c r="Q72" s="41" t="str">
        <x:v>Escalation direction or intensity differs materially.</x:v>
      </x:c>
      <x:c r="R72" s="41" t="n">
        <x:v>1</x:v>
      </x:c>
      <x:c r="S72" s="41" t="n">
        <x:f>'Reviewer View'!K72</x:f>
        <x:v>1</x:v>
      </x:c>
      <x:c r="T72" s="41" t="str">
        <x:v>Prediction captures part of the observed dimension but misses or adds an important element.</x:v>
      </x:c>
      <x:c r="U72" s="47" t="n">
        <x:f>SUM(D72,G72,J72,M72,P72,S72)</x:f>
        <x:v>7</x:v>
      </x:c>
      <x:c r="V72" s="41" t="str">
        <x:f>'Reviewer View'!M72</x:f>
        <x:v>accept</x:v>
      </x:c>
      <x:c r="W72" s="50" t="n">
        <x:f>'Reviewer View'!N72</x:f>
        <x:v>0.7</x:v>
      </x:c>
      <x:c r="X72" s="42" t="n">
        <x:f>'Reviewer View'!O72</x:f>
        <x:v>0</x:v>
      </x:c>
    </x:row>
    <x:row r="73">
      <x:c r="A73" s="40" t="str">
        <x:v>B072-546df9</x:v>
      </x:c>
      <x:c r="B73" s="41" t="str">
        <x:v>t01-pe-h03</x:v>
      </x:c>
      <x:c r="C73" s="41" t="n">
        <x:v>2</x:v>
      </x:c>
      <x:c r="D73" s="41" t="n">
        <x:f>'Reviewer View'!F73</x:f>
        <x:v>2</x:v>
      </x:c>
      <x:c r="E73" s="41" t="str">
        <x:v>Prediction closely captures the observed dimension.</x:v>
      </x:c>
      <x:c r="F73" s="41" t="n">
        <x:v>1</x:v>
      </x:c>
      <x:c r="G73" s="41" t="n">
        <x:f>'Reviewer View'!G73</x:f>
        <x:v>1</x:v>
      </x:c>
      <x:c r="H73" s="41" t="str">
        <x:v>Prediction captures part of the observed dimension but misses or adds an important element.</x:v>
      </x:c>
      <x:c r="I73" s="41" t="n">
        <x:v>0</x:v>
      </x:c>
      <x:c r="J73" s="41" t="n">
        <x:f>'Reviewer View'!H73</x:f>
        <x:v>0</x:v>
      </x:c>
      <x:c r="K73" s="41" t="str">
        <x:v>Prediction does not capture the central observed feature of this dimension.</x:v>
      </x:c>
      <x:c r="L73" s="41" t="n">
        <x:v>1</x:v>
      </x:c>
      <x:c r="M73" s="41" t="n">
        <x:f>'Reviewer View'!I73</x:f>
        <x:v>1</x:v>
      </x:c>
      <x:c r="N73" s="41" t="str">
        <x:v>Prediction captures part of the observed dimension but misses or adds an important element.</x:v>
      </x:c>
      <x:c r="O73" s="41" t="n">
        <x:v>0</x:v>
      </x:c>
      <x:c r="P73" s="41" t="n">
        <x:f>'Reviewer View'!J73</x:f>
        <x:v>0</x:v>
      </x:c>
      <x:c r="Q73" s="41" t="str">
        <x:v>Escalation direction or intensity differs materially.</x:v>
      </x:c>
      <x:c r="R73" s="41" t="n">
        <x:v>1</x:v>
      </x:c>
      <x:c r="S73" s="41" t="n">
        <x:f>'Reviewer View'!K73</x:f>
        <x:v>1</x:v>
      </x:c>
      <x:c r="T73" s="41" t="str">
        <x:v>Prediction captures part of the observed dimension but misses or adds an important element.</x:v>
      </x:c>
      <x:c r="U73" s="47" t="n">
        <x:f>SUM(D73,G73,J73,M73,P73,S73)</x:f>
        <x:v>5</x:v>
      </x:c>
      <x:c r="V73" s="41" t="str">
        <x:f>'Reviewer View'!M73</x:f>
        <x:v>accept</x:v>
      </x:c>
      <x:c r="W73" s="50" t="n">
        <x:f>'Reviewer View'!N73</x:f>
        <x:v>0.73</x:v>
      </x:c>
      <x:c r="X73" s="42" t="n">
        <x:f>'Reviewer View'!O73</x:f>
        <x:v>0</x:v>
      </x:c>
    </x:row>
    <x:row r="74">
      <x:c r="A74" s="40" t="str">
        <x:v>B073-8a938f</x:v>
      </x:c>
      <x:c r="B74" s="41" t="str">
        <x:v>t01-pe-h01</x:v>
      </x:c>
      <x:c r="C74" s="41" t="n">
        <x:v>2</x:v>
      </x:c>
      <x:c r="D74" s="41" t="n">
        <x:f>'Reviewer View'!F74</x:f>
        <x:v>2</x:v>
      </x:c>
      <x:c r="E74" s="41" t="str">
        <x:v>Prediction closely captures the observed dimension.</x:v>
      </x:c>
      <x:c r="F74" s="41" t="n">
        <x:v>1</x:v>
      </x:c>
      <x:c r="G74" s="41" t="n">
        <x:f>'Reviewer View'!G74</x:f>
        <x:v>1</x:v>
      </x:c>
      <x:c r="H74" s="41" t="str">
        <x:v>Prediction captures part of the observed dimension but misses or adds an important element.</x:v>
      </x:c>
      <x:c r="I74" s="41" t="n">
        <x:v>2</x:v>
      </x:c>
      <x:c r="J74" s="41" t="n">
        <x:f>'Reviewer View'!H74</x:f>
        <x:v>2</x:v>
      </x:c>
      <x:c r="K74" s="41" t="str">
        <x:v>Prediction closely captures the observed dimension.</x:v>
      </x:c>
      <x:c r="L74" s="41" t="n">
        <x:v>1</x:v>
      </x:c>
      <x:c r="M74" s="41" t="n">
        <x:f>'Reviewer View'!I74</x:f>
        <x:v>1</x:v>
      </x:c>
      <x:c r="N74" s="41" t="str">
        <x:v>Prediction captures part of the observed dimension but misses or adds an important element.</x:v>
      </x:c>
      <x:c r="O74" s="41" t="n">
        <x:v>1</x:v>
      </x:c>
      <x:c r="P74" s="41" t="n">
        <x:f>'Reviewer View'!J74</x:f>
        <x:v>1</x:v>
      </x:c>
      <x:c r="Q74" s="41" t="str">
        <x:v>Escalation is adjacent in intensity but not exact.</x:v>
      </x:c>
      <x:c r="R74" s="41" t="n">
        <x:v>1</x:v>
      </x:c>
      <x:c r="S74" s="41" t="n">
        <x:f>'Reviewer View'!K74</x:f>
        <x:v>1</x:v>
      </x:c>
      <x:c r="T74" s="41" t="str">
        <x:v>Prediction captures part of the observed dimension but misses or adds an important element.</x:v>
      </x:c>
      <x:c r="U74" s="47" t="n">
        <x:f>SUM(D74,G74,J74,M74,P74,S74)</x:f>
        <x:v>8</x:v>
      </x:c>
      <x:c r="V74" s="41" t="str">
        <x:f>'Reviewer View'!M74</x:f>
        <x:v>accept</x:v>
      </x:c>
      <x:c r="W74" s="50" t="n">
        <x:f>'Reviewer View'!N74</x:f>
        <x:v>0.71</x:v>
      </x:c>
      <x:c r="X74" s="42" t="n">
        <x:f>'Reviewer View'!O74</x:f>
        <x:v>0</x:v>
      </x:c>
    </x:row>
    <x:row r="75">
      <x:c r="A75" s="40" t="str">
        <x:v>B074-405976</x:v>
      </x:c>
      <x:c r="B75" s="41" t="str">
        <x:v>t01-pe-h01</x:v>
      </x:c>
      <x:c r="C75" s="41" t="n">
        <x:v>0</x:v>
      </x:c>
      <x:c r="D75" s="41" t="n">
        <x:f>'Reviewer View'!F75</x:f>
        <x:v>0</x:v>
      </x:c>
      <x:c r="E75" s="41" t="str">
        <x:v>Prediction does not capture the central observed feature of this dimension.</x:v>
      </x:c>
      <x:c r="F75" s="41" t="n">
        <x:v>0</x:v>
      </x:c>
      <x:c r="G75" s="41" t="n">
        <x:f>'Reviewer View'!G75</x:f>
        <x:v>0</x:v>
      </x:c>
      <x:c r="H75" s="41" t="str">
        <x:v>Prediction does not capture the central observed feature of this dimension.</x:v>
      </x:c>
      <x:c r="I75" s="41" t="n">
        <x:v>1</x:v>
      </x:c>
      <x:c r="J75" s="41" t="n">
        <x:f>'Reviewer View'!H75</x:f>
        <x:v>1</x:v>
      </x:c>
      <x:c r="K75" s="41" t="str">
        <x:v>Prediction captures part of the observed dimension but misses or adds an important element.</x:v>
      </x:c>
      <x:c r="L75" s="41" t="n">
        <x:v>2</x:v>
      </x:c>
      <x:c r="M75" s="41" t="n">
        <x:f>'Reviewer View'!I75</x:f>
        <x:v>2</x:v>
      </x:c>
      <x:c r="N75" s="41" t="str">
        <x:v>Prediction closely captures the observed dimension.</x:v>
      </x:c>
      <x:c r="O75" s="41" t="n">
        <x:v>0</x:v>
      </x:c>
      <x:c r="P75" s="41" t="n">
        <x:f>'Reviewer View'!J75</x:f>
        <x:v>0</x:v>
      </x:c>
      <x:c r="Q75" s="41" t="str">
        <x:v>Escalation direction or intensity differs materially.</x:v>
      </x:c>
      <x:c r="R75" s="41" t="n">
        <x:v>1</x:v>
      </x:c>
      <x:c r="S75" s="41" t="n">
        <x:f>'Reviewer View'!K75</x:f>
        <x:v>1</x:v>
      </x:c>
      <x:c r="T75" s="41" t="str">
        <x:v>Prediction captures part of the observed dimension but misses or adds an important element.</x:v>
      </x:c>
      <x:c r="U75" s="47" t="n">
        <x:f>SUM(D75,G75,J75,M75,P75,S75)</x:f>
        <x:v>4</x:v>
      </x:c>
      <x:c r="V75" s="41" t="str">
        <x:f>'Reviewer View'!M75</x:f>
        <x:v>accept</x:v>
      </x:c>
      <x:c r="W75" s="50" t="n">
        <x:f>'Reviewer View'!N75</x:f>
        <x:v>0.77</x:v>
      </x:c>
      <x:c r="X75" s="42" t="n">
        <x:f>'Reviewer View'!O75</x:f>
        <x:v>0</x:v>
      </x:c>
    </x:row>
    <x:row r="76">
      <x:c r="A76" s="40" t="str">
        <x:v>B075-f18d01</x:v>
      </x:c>
      <x:c r="B76" s="41" t="str">
        <x:v>t01-pe-h02</x:v>
      </x:c>
      <x:c r="C76" s="41" t="n">
        <x:v>1</x:v>
      </x:c>
      <x:c r="D76" s="41" t="n">
        <x:f>'Reviewer View'!F76</x:f>
        <x:v>1</x:v>
      </x:c>
      <x:c r="E76" s="41" t="str">
        <x:v>Prediction captures part of the observed dimension but misses or adds an important element.</x:v>
      </x:c>
      <x:c r="F76" s="41" t="n">
        <x:v>0</x:v>
      </x:c>
      <x:c r="G76" s="41" t="n">
        <x:f>'Reviewer View'!G76</x:f>
        <x:v>0</x:v>
      </x:c>
      <x:c r="H76" s="41" t="str">
        <x:v>Prediction does not capture the central observed feature of this dimension.</x:v>
      </x:c>
      <x:c r="I76" s="41" t="n">
        <x:v>0</x:v>
      </x:c>
      <x:c r="J76" s="41" t="n">
        <x:f>'Reviewer View'!H76</x:f>
        <x:v>0</x:v>
      </x:c>
      <x:c r="K76" s="41" t="str">
        <x:v>Prediction does not capture the central observed feature of this dimension.</x:v>
      </x:c>
      <x:c r="L76" s="41" t="n">
        <x:v>1</x:v>
      </x:c>
      <x:c r="M76" s="41" t="n">
        <x:f>'Reviewer View'!I76</x:f>
        <x:v>1</x:v>
      </x:c>
      <x:c r="N76" s="41" t="str">
        <x:v>Prediction captures part of the observed dimension but misses or adds an important element.</x:v>
      </x:c>
      <x:c r="O76" s="41" t="n">
        <x:v>1</x:v>
      </x:c>
      <x:c r="P76" s="41" t="n">
        <x:f>'Reviewer View'!J76</x:f>
        <x:v>1</x:v>
      </x:c>
      <x:c r="Q76" s="41" t="str">
        <x:v>Escalation is adjacent in intensity but not exact.</x:v>
      </x:c>
      <x:c r="R76" s="41" t="n">
        <x:v>0</x:v>
      </x:c>
      <x:c r="S76" s="41" t="n">
        <x:f>'Reviewer View'!K76</x:f>
        <x:v>0</x:v>
      </x:c>
      <x:c r="T76" s="41" t="str">
        <x:v>Prediction does not capture the central observed feature of this dimension.</x:v>
      </x:c>
      <x:c r="U76" s="47" t="n">
        <x:f>SUM(D76,G76,J76,M76,P76,S76)</x:f>
        <x:v>3</x:v>
      </x:c>
      <x:c r="V76" s="41" t="str">
        <x:f>'Reviewer View'!M76</x:f>
        <x:v>accept</x:v>
      </x:c>
      <x:c r="W76" s="50" t="n">
        <x:f>'Reviewer View'!N76</x:f>
        <x:v>0.75</x:v>
      </x:c>
      <x:c r="X76" s="42" t="n">
        <x:f>'Reviewer View'!O76</x:f>
        <x:v>0</x:v>
      </x:c>
    </x:row>
    <x:row r="77">
      <x:c r="A77" s="40" t="str">
        <x:v>B076-52de7d</x:v>
      </x:c>
      <x:c r="B77" s="41" t="str">
        <x:v>t01-pe-h01</x:v>
      </x:c>
      <x:c r="C77" s="41" t="n">
        <x:v>0</x:v>
      </x:c>
      <x:c r="D77" s="41" t="n">
        <x:f>'Reviewer View'!F77</x:f>
        <x:v>0</x:v>
      </x:c>
      <x:c r="E77" s="41" t="str">
        <x:v>Prediction does not capture the central observed feature of this dimension.</x:v>
      </x:c>
      <x:c r="F77" s="41" t="n">
        <x:v>0</x:v>
      </x:c>
      <x:c r="G77" s="41" t="n">
        <x:f>'Reviewer View'!G77</x:f>
        <x:v>0</x:v>
      </x:c>
      <x:c r="H77" s="41" t="str">
        <x:v>Prediction does not capture the central observed feature of this dimension.</x:v>
      </x:c>
      <x:c r="I77" s="41" t="n">
        <x:v>2</x:v>
      </x:c>
      <x:c r="J77" s="41" t="n">
        <x:f>'Reviewer View'!H77</x:f>
        <x:v>2</x:v>
      </x:c>
      <x:c r="K77" s="41" t="str">
        <x:v>Prediction closely captures the observed dimension.</x:v>
      </x:c>
      <x:c r="L77" s="41" t="n">
        <x:v>1</x:v>
      </x:c>
      <x:c r="M77" s="41" t="n">
        <x:f>'Reviewer View'!I77</x:f>
        <x:v>1</x:v>
      </x:c>
      <x:c r="N77" s="41" t="str">
        <x:v>Prediction captures part of the observed dimension but misses or adds an important element.</x:v>
      </x:c>
      <x:c r="O77" s="41" t="n">
        <x:v>0</x:v>
      </x:c>
      <x:c r="P77" s="41" t="n">
        <x:f>'Reviewer View'!J77</x:f>
        <x:v>0</x:v>
      </x:c>
      <x:c r="Q77" s="41" t="str">
        <x:v>Escalation direction or intensity differs materially.</x:v>
      </x:c>
      <x:c r="R77" s="41" t="n">
        <x:v>2</x:v>
      </x:c>
      <x:c r="S77" s="41" t="n">
        <x:f>'Reviewer View'!K77</x:f>
        <x:v>2</x:v>
      </x:c>
      <x:c r="T77" s="41" t="str">
        <x:v>Prediction closely captures the observed dimension.</x:v>
      </x:c>
      <x:c r="U77" s="47" t="n">
        <x:f>SUM(D77,G77,J77,M77,P77,S77)</x:f>
        <x:v>5</x:v>
      </x:c>
      <x:c r="V77" s="41" t="str">
        <x:f>'Reviewer View'!M77</x:f>
        <x:v>accept</x:v>
      </x:c>
      <x:c r="W77" s="50" t="n">
        <x:f>'Reviewer View'!N77</x:f>
        <x:v>0.79</x:v>
      </x:c>
      <x:c r="X77" s="42" t="n">
        <x:f>'Reviewer View'!O77</x:f>
        <x:v>0</x:v>
      </x:c>
    </x:row>
    <x:row r="78">
      <x:c r="A78" s="40" t="str">
        <x:v>B077-e5ad0b</x:v>
      </x:c>
      <x:c r="B78" s="41" t="str">
        <x:v>t01-pe-h04</x:v>
      </x:c>
      <x:c r="C78" s="41" t="n">
        <x:v>0</x:v>
      </x:c>
      <x:c r="D78" s="41" t="n">
        <x:f>'Reviewer View'!F78</x:f>
        <x:v>0</x:v>
      </x:c>
      <x:c r="E78" s="41" t="str">
        <x:v>Prediction does not capture the central observed feature of this dimension.</x:v>
      </x:c>
      <x:c r="F78" s="41" t="n">
        <x:v>0</x:v>
      </x:c>
      <x:c r="G78" s="41" t="n">
        <x:f>'Reviewer View'!G78</x:f>
        <x:v>0</x:v>
      </x:c>
      <x:c r="H78" s="41" t="str">
        <x:v>Prediction does not capture the central observed feature of this dimension.</x:v>
      </x:c>
      <x:c r="I78" s="41" t="n">
        <x:v>0</x:v>
      </x:c>
      <x:c r="J78" s="41" t="n">
        <x:f>'Reviewer View'!H78</x:f>
        <x:v>0</x:v>
      </x:c>
      <x:c r="K78" s="41" t="str">
        <x:v>Prediction does not capture the central observed feature of this dimension.</x:v>
      </x:c>
      <x:c r="L78" s="41" t="n">
        <x:v>2</x:v>
      </x:c>
      <x:c r="M78" s="41" t="n">
        <x:f>'Reviewer View'!I78</x:f>
        <x:v>2</x:v>
      </x:c>
      <x:c r="N78" s="41" t="str">
        <x:v>Prediction closely captures the observed dimension.</x:v>
      </x:c>
      <x:c r="O78" s="41" t="n">
        <x:v>0</x:v>
      </x:c>
      <x:c r="P78" s="41" t="n">
        <x:f>'Reviewer View'!J78</x:f>
        <x:v>0</x:v>
      </x:c>
      <x:c r="Q78" s="41" t="str">
        <x:v>Escalation direction or intensity differs materially.</x:v>
      </x:c>
      <x:c r="R78" s="41" t="n">
        <x:v>0</x:v>
      </x:c>
      <x:c r="S78" s="41" t="n">
        <x:f>'Reviewer View'!K78</x:f>
        <x:v>0</x:v>
      </x:c>
      <x:c r="T78" s="41" t="str">
        <x:v>Prediction does not capture the central observed feature of this dimension.</x:v>
      </x:c>
      <x:c r="U78" s="47" t="n">
        <x:f>SUM(D78,G78,J78,M78,P78,S78)</x:f>
        <x:v>2</x:v>
      </x:c>
      <x:c r="V78" s="41" t="str">
        <x:f>'Reviewer View'!M78</x:f>
        <x:v>accept</x:v>
      </x:c>
      <x:c r="W78" s="50" t="n">
        <x:f>'Reviewer View'!N78</x:f>
        <x:v>0.84</x:v>
      </x:c>
      <x:c r="X78" s="42" t="n">
        <x:f>'Reviewer View'!O78</x:f>
        <x:v>0</x:v>
      </x:c>
    </x:row>
    <x:row r="79">
      <x:c r="A79" s="40" t="str">
        <x:v>B078-f8fadd</x:v>
      </x:c>
      <x:c r="B79" s="41" t="str">
        <x:v>t01-pe-h04</x:v>
      </x:c>
      <x:c r="C79" s="41" t="n">
        <x:v>0</x:v>
      </x:c>
      <x:c r="D79" s="41" t="n">
        <x:f>'Reviewer View'!F79</x:f>
        <x:v>0</x:v>
      </x:c>
      <x:c r="E79" s="41" t="str">
        <x:v>Prediction does not capture the central observed feature of this dimension.</x:v>
      </x:c>
      <x:c r="F79" s="41" t="n">
        <x:v>1</x:v>
      </x:c>
      <x:c r="G79" s="41" t="n">
        <x:f>'Reviewer View'!G79</x:f>
        <x:v>1</x:v>
      </x:c>
      <x:c r="H79" s="41" t="str">
        <x:v>Prediction captures part of the observed dimension but misses or adds an important element.</x:v>
      </x:c>
      <x:c r="I79" s="41" t="n">
        <x:v>0</x:v>
      </x:c>
      <x:c r="J79" s="41" t="n">
        <x:f>'Reviewer View'!H79</x:f>
        <x:v>0</x:v>
      </x:c>
      <x:c r="K79" s="41" t="str">
        <x:v>Prediction does not capture the central observed feature of this dimension.</x:v>
      </x:c>
      <x:c r="L79" s="41" t="n">
        <x:v>0</x:v>
      </x:c>
      <x:c r="M79" s="41" t="n">
        <x:f>'Reviewer View'!I79</x:f>
        <x:v>0</x:v>
      </x:c>
      <x:c r="N79" s="41" t="str">
        <x:v>Prediction does not capture the central observed feature of this dimension.</x:v>
      </x:c>
      <x:c r="O79" s="41" t="n">
        <x:v>0</x:v>
      </x:c>
      <x:c r="P79" s="41" t="n">
        <x:f>'Reviewer View'!J79</x:f>
        <x:v>0</x:v>
      </x:c>
      <x:c r="Q79" s="41" t="str">
        <x:v>Escalation direction or intensity differs materially.</x:v>
      </x:c>
      <x:c r="R79" s="41" t="n">
        <x:v>0</x:v>
      </x:c>
      <x:c r="S79" s="41" t="n">
        <x:f>'Reviewer View'!K79</x:f>
        <x:v>0</x:v>
      </x:c>
      <x:c r="T79" s="41" t="str">
        <x:v>Prediction does not capture the central observed feature of this dimension.</x:v>
      </x:c>
      <x:c r="U79" s="47" t="n">
        <x:f>SUM(D79,G79,J79,M79,P79,S79)</x:f>
        <x:v>1</x:v>
      </x:c>
      <x:c r="V79" s="41" t="str">
        <x:f>'Reviewer View'!M79</x:f>
        <x:v>accept</x:v>
      </x:c>
      <x:c r="W79" s="50" t="n">
        <x:f>'Reviewer View'!N79</x:f>
        <x:v>0.84</x:v>
      </x:c>
      <x:c r="X79" s="42" t="n">
        <x:f>'Reviewer View'!O79</x:f>
        <x:v>0</x:v>
      </x:c>
    </x:row>
    <x:row r="80">
      <x:c r="A80" s="40" t="str">
        <x:v>B079-dadbd7</x:v>
      </x:c>
      <x:c r="B80" s="41" t="str">
        <x:v>t01-pe-h02</x:v>
      </x:c>
      <x:c r="C80" s="41" t="n">
        <x:v>1</x:v>
      </x:c>
      <x:c r="D80" s="41" t="n">
        <x:f>'Reviewer View'!F80</x:f>
        <x:v>1</x:v>
      </x:c>
      <x:c r="E80" s="41" t="str">
        <x:v>Prediction captures part of the observed dimension but misses or adds an important element.</x:v>
      </x:c>
      <x:c r="F80" s="41" t="n">
        <x:v>1</x:v>
      </x:c>
      <x:c r="G80" s="41" t="n">
        <x:f>'Reviewer View'!G80</x:f>
        <x:v>1</x:v>
      </x:c>
      <x:c r="H80" s="41" t="str">
        <x:v>Prediction captures part of the observed dimension but misses or adds an important element.</x:v>
      </x:c>
      <x:c r="I80" s="41" t="n">
        <x:v>0</x:v>
      </x:c>
      <x:c r="J80" s="41" t="n">
        <x:f>'Reviewer View'!H80</x:f>
        <x:v>0</x:v>
      </x:c>
      <x:c r="K80" s="41" t="str">
        <x:v>Prediction does not capture the central observed feature of this dimension.</x:v>
      </x:c>
      <x:c r="L80" s="41" t="n">
        <x:v>1</x:v>
      </x:c>
      <x:c r="M80" s="41" t="n">
        <x:f>'Reviewer View'!I80</x:f>
        <x:v>1</x:v>
      </x:c>
      <x:c r="N80" s="41" t="str">
        <x:v>Prediction captures part of the observed dimension but misses or adds an important element.</x:v>
      </x:c>
      <x:c r="O80" s="41" t="n">
        <x:v>1</x:v>
      </x:c>
      <x:c r="P80" s="41" t="n">
        <x:f>'Reviewer View'!J80</x:f>
        <x:v>1</x:v>
      </x:c>
      <x:c r="Q80" s="41" t="str">
        <x:v>Escalation is adjacent in intensity but not exact.</x:v>
      </x:c>
      <x:c r="R80" s="41" t="n">
        <x:v>0</x:v>
      </x:c>
      <x:c r="S80" s="41" t="n">
        <x:f>'Reviewer View'!K80</x:f>
        <x:v>0</x:v>
      </x:c>
      <x:c r="T80" s="41" t="str">
        <x:v>Prediction does not capture the central observed feature of this dimension.</x:v>
      </x:c>
      <x:c r="U80" s="47" t="n">
        <x:f>SUM(D80,G80,J80,M80,P80,S80)</x:f>
        <x:v>4</x:v>
      </x:c>
      <x:c r="V80" s="41" t="str">
        <x:f>'Reviewer View'!M80</x:f>
        <x:v>accept</x:v>
      </x:c>
      <x:c r="W80" s="50" t="n">
        <x:f>'Reviewer View'!N80</x:f>
        <x:v>0.73</x:v>
      </x:c>
      <x:c r="X80" s="42" t="n">
        <x:f>'Reviewer View'!O80</x:f>
        <x:v>0</x:v>
      </x:c>
    </x:row>
    <x:row r="81">
      <x:c r="A81" s="43" t="str">
        <x:v>B080-c3e2ba</x:v>
      </x:c>
      <x:c r="B81" s="44" t="str">
        <x:v>t01-pe-h03</x:v>
      </x:c>
      <x:c r="C81" s="44" t="n">
        <x:v>2</x:v>
      </x:c>
      <x:c r="D81" s="44" t="n">
        <x:f>'Reviewer View'!F81</x:f>
        <x:v>2</x:v>
      </x:c>
      <x:c r="E81" s="44" t="str">
        <x:v>Prediction closely captures the observed dimension.</x:v>
      </x:c>
      <x:c r="F81" s="44" t="n">
        <x:v>1</x:v>
      </x:c>
      <x:c r="G81" s="44" t="n">
        <x:f>'Reviewer View'!G81</x:f>
        <x:v>1</x:v>
      </x:c>
      <x:c r="H81" s="44" t="str">
        <x:v>Prediction captures part of the observed dimension but misses or adds an important element.</x:v>
      </x:c>
      <x:c r="I81" s="44" t="n">
        <x:v>0</x:v>
      </x:c>
      <x:c r="J81" s="44" t="n">
        <x:f>'Reviewer View'!H81</x:f>
        <x:v>0</x:v>
      </x:c>
      <x:c r="K81" s="44" t="str">
        <x:v>Prediction does not capture the central observed feature of this dimension.</x:v>
      </x:c>
      <x:c r="L81" s="44" t="n">
        <x:v>0</x:v>
      </x:c>
      <x:c r="M81" s="44" t="n">
        <x:f>'Reviewer View'!I81</x:f>
        <x:v>0</x:v>
      </x:c>
      <x:c r="N81" s="44" t="str">
        <x:v>Prediction does not capture the central observed feature of this dimension.</x:v>
      </x:c>
      <x:c r="O81" s="44" t="n">
        <x:v>0</x:v>
      </x:c>
      <x:c r="P81" s="44" t="n">
        <x:f>'Reviewer View'!J81</x:f>
        <x:v>0</x:v>
      </x:c>
      <x:c r="Q81" s="44" t="str">
        <x:v>Escalation direction or intensity differs materially.</x:v>
      </x:c>
      <x:c r="R81" s="44" t="n">
        <x:v>1</x:v>
      </x:c>
      <x:c r="S81" s="44" t="n">
        <x:f>'Reviewer View'!K81</x:f>
        <x:v>1</x:v>
      </x:c>
      <x:c r="T81" s="44" t="str">
        <x:v>Prediction captures part of the observed dimension but misses or adds an important element.</x:v>
      </x:c>
      <x:c r="U81" s="48" t="n">
        <x:f>SUM(D81,G81,J81,M81,P81,S81)</x:f>
        <x:v>4</x:v>
      </x:c>
      <x:c r="V81" s="44" t="str">
        <x:f>'Reviewer View'!M81</x:f>
        <x:v>accept</x:v>
      </x:c>
      <x:c r="W81" s="51" t="n">
        <x:f>'Reviewer View'!N81</x:f>
        <x:v>0.79</x:v>
      </x:c>
      <x:c r="X81" s="45" t="n">
        <x:f>'Reviewer View'!O81</x:f>
        <x:v>0</x:v>
      </x:c>
    </x:row>
  </x:sheetData>
  <x:conditionalFormatting sqref="D2:D81">
    <x:cfRule type="colorScale" priority="1">
      <x:colorScale>
        <x:cfvo type="min"/>
        <x:cfvo type="percentile" val="50"/>
        <x:cfvo type="max"/>
        <x:color rgb="FFFFCDD2"/>
        <x:color rgb="FFFFF9C4"/>
        <x:color rgb="FFC8E6C9"/>
      </x:colorScale>
    </x:cfRule>
  </x:conditionalFormatting>
  <x:conditionalFormatting sqref="G2:G81">
    <x:cfRule type="colorScale" priority="2">
      <x:colorScale>
        <x:cfvo type="min"/>
        <x:cfvo type="percentile" val="50"/>
        <x:cfvo type="max"/>
        <x:color rgb="FFFFCDD2"/>
        <x:color rgb="FFFFF9C4"/>
        <x:color rgb="FFC8E6C9"/>
      </x:colorScale>
    </x:cfRule>
  </x:conditionalFormatting>
  <x:conditionalFormatting sqref="J2:J81">
    <x:cfRule type="colorScale" priority="3">
      <x:colorScale>
        <x:cfvo type="min"/>
        <x:cfvo type="percentile" val="50"/>
        <x:cfvo type="max"/>
        <x:color rgb="FFFFCDD2"/>
        <x:color rgb="FFFFF9C4"/>
        <x:color rgb="FFC8E6C9"/>
      </x:colorScale>
    </x:cfRule>
  </x:conditionalFormatting>
  <x:conditionalFormatting sqref="M2:M81">
    <x:cfRule type="colorScale" priority="4">
      <x:colorScale>
        <x:cfvo type="min"/>
        <x:cfvo type="percentile" val="50"/>
        <x:cfvo type="max"/>
        <x:color rgb="FFFFCDD2"/>
        <x:color rgb="FFFFF9C4"/>
        <x:color rgb="FFC8E6C9"/>
      </x:colorScale>
    </x:cfRule>
  </x:conditionalFormatting>
  <x:conditionalFormatting sqref="P2:P81">
    <x:cfRule type="colorScale" priority="5">
      <x:colorScale>
        <x:cfvo type="min"/>
        <x:cfvo type="percentile" val="50"/>
        <x:cfvo type="max"/>
        <x:color rgb="FFFFCDD2"/>
        <x:color rgb="FFFFF9C4"/>
        <x:color rgb="FFC8E6C9"/>
      </x:colorScale>
    </x:cfRule>
  </x:conditionalFormatting>
  <x:conditionalFormatting sqref="S2:S81">
    <x:cfRule type="colorScale" priority="6">
      <x:colorScale>
        <x:cfvo type="min"/>
        <x:cfvo type="percentile" val="50"/>
        <x:cfvo type="max"/>
        <x:color rgb="FFFFCDD2"/>
        <x:color rgb="FFFFF9C4"/>
        <x:color rgb="FFC8E6C9"/>
      </x:colorScale>
    </x:cfRule>
  </x:conditionalFormatting>
  <x:dataValidations count="7">
    <x:dataValidation type="whole" operator="between" sqref="D2:D81">
      <x:formula1>0</x:formula1>
      <x:formula2>2</x:formula2>
    </x:dataValidation>
    <x:dataValidation type="whole" operator="between" sqref="G2:G81">
      <x:formula1>0</x:formula1>
      <x:formula2>2</x:formula2>
    </x:dataValidation>
    <x:dataValidation type="whole" operator="between" sqref="J2:J81">
      <x:formula1>0</x:formula1>
      <x:formula2>2</x:formula2>
    </x:dataValidation>
    <x:dataValidation type="whole" operator="between" sqref="M2:M81">
      <x:formula1>0</x:formula1>
      <x:formula2>2</x:formula2>
    </x:dataValidation>
    <x:dataValidation type="whole" operator="between" sqref="P2:P81">
      <x:formula1>0</x:formula1>
      <x:formula2>2</x:formula2>
    </x:dataValidation>
    <x:dataValidation type="whole" operator="between" sqref="S2:S81">
      <x:formula1>0</x:formula1>
      <x:formula2>2</x:formula2>
    </x:dataValidation>
    <x:dataValidation type="list" sqref="V2:V81">
      <x:formula1>"accept,change,uncertain"</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5" hidden="0" customWidth="1"/>
    <x:col min="5" max="5" width="55" hidden="0" customWidth="1"/>
    <x:col min="6" max="6" width="45" hidden="0" customWidth="1"/>
    <x:col min="7" max="7" width="38" hidden="0" customWidth="1"/>
    <x:col min="8" max="8" width="45" hidden="0" customWidth="1"/>
    <x:col min="9" max="9" width="45" hidden="0" customWidth="1"/>
    <x:col min="10" max="10" width="16" hidden="0" customWidth="1"/>
    <x:col min="11" max="11" width="45" hidden="0" customWidth="1"/>
  </x:cols>
  <x:sheetData>
    <x:row r="1" ht="30" customHeight="1">
      <x:c r="A1" s="16" t="str">
        <x:v>Situation ID</x:v>
      </x:c>
      <x:c r="B1" s="17" t="str">
        <x:v>Episode</x:v>
      </x:c>
      <x:c r="C1" s="17" t="str">
        <x:v>Domain</x:v>
      </x:c>
      <x:c r="D1" s="17" t="str">
        <x:v>Situation</x:v>
      </x:c>
      <x:c r="E1" s="17" t="str">
        <x:v>Observed response</x:v>
      </x:c>
      <x:c r="F1" s="17" t="str">
        <x:v>Interpretation</x:v>
      </x:c>
      <x:c r="G1" s="17" t="str">
        <x:v>Affective stance</x:v>
      </x:c>
      <x:c r="H1" s="17" t="str">
        <x:v>Behavioural strategy</x:v>
      </x:c>
      <x:c r="I1" s="17" t="str">
        <x:v>Relational objective</x:v>
      </x:c>
      <x:c r="J1" s="17" t="str">
        <x:v>Escalation</x:v>
      </x:c>
      <x:c r="K1" s="18" t="str">
        <x:v>Immediate partner effect</x:v>
      </x:c>
    </x:row>
    <x:row r="2">
      <x:c r="A2" s="37" t="str">
        <x:v>t01-pe-h01</x:v>
      </x:c>
      <x:c r="B2" s="38" t="str">
        <x:v>Episode 8, Part 1</x:v>
      </x:c>
      <x:c r="C2" s="38" t="str">
        <x:v>future_and_anchor</x:v>
      </x:c>
      <x:c r="D2" s="38" t="str">
        <x:v>The clinician links Participant E's caregiving history and constricted sense of the future with E's two serious partners both having anchor partners, then asks what E may want for E's own future.</x:v>
      </x:c>
      <x:c r="E2" s="38" t="str">
        <x:v>Participant E begins to wonder whether E may want an anchor partner or to live with a partner someday, despite not previously imagining cohabitation.</x:v>
      </x:c>
      <x:c r="F2" s="38" t="str">
        <x:v>E understands the formulation as a challenge to ask what E wants rather than only accommodating existing structures.</x:v>
      </x:c>
      <x:c r="G2" s="38" t="str">
        <x:v>Tentative, vulnerable and newly curious.</x:v>
      </x:c>
      <x:c r="H2" s="38" t="str">
        <x:v>Explores previously disavowed future desires without making a demand.</x:v>
      </x:c>
      <x:c r="I2" s="38" t="str">
        <x:v>Recover authorship of E's future and make personal wants thinkable.</x:v>
      </x:c>
      <x:c r="J2" s="38" t="str">
        <x:v>de-escalating</x:v>
      </x:c>
      <x:c r="K2" s="39" t="str">
        <x:v>The relational system gains a clearer question about E's needs, but no immediate structural solution.</x:v>
      </x:c>
    </x:row>
    <x:row r="3">
      <x:c r="A3" s="40" t="str">
        <x:v>t01-pe-h02</x:v>
      </x:c>
      <x:c r="B3" s="41" t="str">
        <x:v>Episode 8, Part 1</x:v>
      </x:c>
      <x:c r="C3" s="41" t="str">
        <x:v>invitation_choice</x:v>
      </x:c>
      <x:c r="D3" s="41" t="str">
        <x:v>E's other anchor partner offers a simple choice: E can invite Participant D to a party, or the anchor partner can do it. E must decide how to respond before the event.</x:v>
      </x:c>
      <x:c r="E3" s="41" t="str">
        <x:v>Participant E panics internally about doing the invitation incorrectly and disappointing both partners, then freezes and takes no action before the party.</x:v>
      </x:c>
      <x:c r="F3" s="41" t="str">
        <x:v>E experiences a simple choice as a high-stakes loyalty problem with no safely correct answer.</x:v>
      </x:c>
      <x:c r="G3" s="41" t="str">
        <x:v>Anxious, ashamed and overwhelmed.</x:v>
      </x:c>
      <x:c r="H3" s="41" t="str">
        <x:v>Avoids choosing or communicating, resulting in inaction.</x:v>
      </x:c>
      <x:c r="I3" s="41" t="str">
        <x:v>Prevent disappointment and conflict with either partner, although avoidance undermines that goal.</x:v>
      </x:c>
      <x:c r="J3" s="41" t="str">
        <x:v>moderate</x:v>
      </x:c>
      <x:c r="K3" s="42" t="str">
        <x:v>Participant D notices a block and the missed connection becomes a therapy issue.</x:v>
      </x:c>
    </x:row>
    <x:row r="4">
      <x:c r="A4" s="40" t="str">
        <x:v>t01-pe-h03</x:v>
      </x:c>
      <x:c r="B4" s="41" t="str">
        <x:v>Episode 9, Part 2</x:v>
      </x:c>
      <x:c r="C4" s="41" t="str">
        <x:v>possible_relocation</x:v>
      </x:c>
      <x:c r="D4" s="41" t="str">
        <x:v>Participant E considers a plausible future in which Participants C and D move to another city while C pursues career and personal needs.</x:v>
      </x:c>
      <x:c r="E4" s="41" t="str">
        <x:v>Participant E says it would feel wrong to veto C and D's move and acknowledges C's career and needs, even while the hypothetical exposes E's insecurity.</x:v>
      </x:c>
      <x:c r="F4" s="41" t="str">
        <x:v>E sees the move as potentially destabilising but also recognises that E should not control the established pair's future.</x:v>
      </x:c>
      <x:c r="G4" s="41" t="str">
        <x:v>Uneasy, vulnerable and empathic.</x:v>
      </x:c>
      <x:c r="H4" s="41" t="str">
        <x:v>Uses perspective-taking and explicitly rejects unilateral control.</x:v>
      </x:c>
      <x:c r="I4" s="41" t="str">
        <x:v>Preserve mutual consideration without erasing either E's fear or C's autonomy.</x:v>
      </x:c>
      <x:c r="J4" s="41" t="str">
        <x:v>de-escalating</x:v>
      </x:c>
      <x:c r="K4" s="42" t="str">
        <x:v>Participant C reports feeling safe and held by E's response.</x:v>
      </x:c>
    </x:row>
    <x:row r="5">
      <x:c r="A5" s="43" t="str">
        <x:v>t01-pe-h04</x:v>
      </x:c>
      <x:c r="B5" s="44" t="str">
        <x:v>Episode 9, Part 2</x:v>
      </x:c>
      <x:c r="C5" s="44" t="str">
        <x:v>expectation_ambiguity</x:v>
      </x:c>
      <x:c r="D5" s="44" t="str">
        <x:v>The clinician suggests that non-hierarchical ideology can obscure feelings and that the relationship's words and practical actions have not always provided the same expectations.</x:v>
      </x:c>
      <x:c r="E5" s="44" t="str">
        <x:v>Participant E recognises that E struggled with discrepancies between words and actions but also relied on Participants C and D to tell E what the relationship would be and what E should expect.</x:v>
      </x:c>
      <x:c r="F5" s="44" t="str">
        <x:v>E interprets the ambiguity as partly structural and partly connected to E's own deferred agency.</x:v>
      </x:c>
      <x:c r="G5" s="44" t="str">
        <x:v>Reflective, candid and somewhat regretful.</x:v>
      </x:c>
      <x:c r="H5" s="44" t="str">
        <x:v>Names E's reliance on the established pair rather than assigning all responsibility outward.</x:v>
      </x:c>
      <x:c r="I5" s="44" t="str">
        <x:v>Clarify how expectations formed and reclaim responsibility for asking what E needs.</x:v>
      </x:c>
      <x:c r="J5" s="44" t="str">
        <x:v>de-escalating</x:v>
      </x:c>
      <x:c r="K5" s="45" t="str">
        <x:v>The system gains a less idealised account of hierarchy and expectation-setting.</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4" max="4" width="20" hidden="0" customWidth="1"/>
    <x:col min="5" max="5" width="18" hidden="0" customWidth="1"/>
    <x:col min="6" max="6" width="12" hidden="0" customWidth="1"/>
  </x:cols>
  <x:sheetData>
    <x:row r="1" ht="34" customHeight="1">
      <x:c r="A1" s="3" t="str">
        <x:v>Lorena / Participant E — condition-blind summary</x:v>
      </x:c>
      <x:c r="B1" s="3"/>
      <x:c r="C1" s="3"/>
      <x:c r="D1" s="3"/>
      <x:c r="E1" s="3"/>
      <x:c r="F1" s="3"/>
      <x:c r="G1" s="3"/>
      <x:c r="H1" s="3"/>
    </x:row>
    <x:row r="3" ht="30" customHeight="1">
      <x:c r="A3" s="16" t="str">
        <x:v>Metric</x:v>
      </x:c>
      <x:c r="B3" s="18" t="str">
        <x:v>Value</x:v>
      </x:c>
      <x:c r="D3" s="16" t="str">
        <x:v>Situation ID</x:v>
      </x:c>
      <x:c r="E3" s="17" t="str">
        <x:v>Mean total</x:v>
      </x:c>
      <x:c r="F3" s="18" t="str">
        <x:v>Rows</x:v>
      </x:c>
    </x:row>
    <x:row r="4">
      <x:c r="A4" s="52" t="str">
        <x:v>Predictions</x:v>
      </x:c>
      <x:c r="B4" s="53" t="n">
        <x:v>80</x:v>
      </x:c>
      <x:c r="D4" t="str">
        <x:v>t01-pe-h01</x:v>
      </x:c>
      <x:c r="E4" s="60" t="n">
        <x:f>AVERAGEIF('Scores'!$B$2:$B$81,D4,'Scores'!$U$2:$U$81)</x:f>
        <x:v>5.3</x:v>
      </x:c>
      <x:c r="F4" t="n">
        <x:f>COUNTIF('Scores'!$B$2:$B$81,D4)</x:f>
        <x:v>20</x:v>
      </x:c>
    </x:row>
    <x:row r="5">
      <x:c r="A5" s="54" t="str">
        <x:v>Accepted</x:v>
      </x:c>
      <x:c r="B5" s="55" t="n">
        <x:f>COUNTIF('Scores'!$V$2:$V$81,"accept")</x:f>
        <x:v>80</x:v>
      </x:c>
      <x:c r="D5" t="str">
        <x:v>t01-pe-h02</x:v>
      </x:c>
      <x:c r="E5" s="60" t="n">
        <x:f>AVERAGEIF('Scores'!$B$2:$B$81,D5,'Scores'!$U$2:$U$81)</x:f>
        <x:v>5.05</x:v>
      </x:c>
      <x:c r="F5" t="n">
        <x:f>COUNTIF('Scores'!$B$2:$B$81,D5)</x:f>
        <x:v>20</x:v>
      </x:c>
    </x:row>
    <x:row r="6">
      <x:c r="A6" s="54" t="str">
        <x:v>Changed</x:v>
      </x:c>
      <x:c r="B6" s="55" t="n">
        <x:f>COUNTIF('Scores'!$V$2:$V$81,"change")</x:f>
        <x:v>0</x:v>
      </x:c>
      <x:c r="D6" t="str">
        <x:v>t01-pe-h03</x:v>
      </x:c>
      <x:c r="E6" s="60" t="n">
        <x:f>AVERAGEIF('Scores'!$B$2:$B$81,D6,'Scores'!$U$2:$U$81)</x:f>
        <x:v>3.85</x:v>
      </x:c>
      <x:c r="F6" t="n">
        <x:f>COUNTIF('Scores'!$B$2:$B$81,D6)</x:f>
        <x:v>20</x:v>
      </x:c>
    </x:row>
    <x:row r="7">
      <x:c r="A7" s="54" t="str">
        <x:v>Uncertain</x:v>
      </x:c>
      <x:c r="B7" s="55" t="n">
        <x:f>COUNTIF('Scores'!$V$2:$V$81,"uncertain")</x:f>
        <x:v>0</x:v>
      </x:c>
      <x:c r="D7" t="str">
        <x:v>t01-pe-h04</x:v>
      </x:c>
      <x:c r="E7" s="60" t="n">
        <x:f>AVERAGEIF('Scores'!$B$2:$B$81,D7,'Scores'!$U$2:$U$81)</x:f>
        <x:v>2.65</x:v>
      </x:c>
      <x:c r="F7" t="n">
        <x:f>COUNTIF('Scores'!$B$2:$B$81,D7)</x:f>
        <x:v>20</x:v>
      </x:c>
    </x:row>
    <x:row r="8">
      <x:c r="A8" s="54" t="str">
        <x:v>Mean total /12</x:v>
      </x:c>
      <x:c r="B8" s="58" t="n">
        <x:f>AVERAGE('Scores'!$U$2:$U$81)</x:f>
        <x:v>4.2125</x:v>
      </x:c>
    </x:row>
    <x:row r="9">
      <x:c r="A9" s="56" t="str">
        <x:v>Mean confidence</x:v>
      </x:c>
      <x:c r="B9" s="59" t="n">
        <x:f>AVERAGE('Scores'!$W$2:$W$81)</x:f>
        <x:v>0.7685000000000002</x:v>
      </x:c>
    </x:row>
  </x:sheetData>
  <x:mergeCells>
    <x:mergeCell ref="A1:H1"/>
  </x:mergeCells>
  <x:pageMargins left="0.7" right="0.7" top="0.75" bottom="0.75" header="0.3" footer="0.3"/>
</x:worksheet>
</file>